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ea9098cc8444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7dbca44cc5645de"/>
    <x:sheet xmlns:r="http://schemas.openxmlformats.org/officeDocument/2006/relationships" name="Raw CRM Export" sheetId="2" r:id="R579c8906048f4c9e"/>
    <x:sheet xmlns:r="http://schemas.openxmlformats.org/officeDocument/2006/relationships" name="Cleaned Contacts" sheetId="3" r:id="Rb9850f6b5d384c9a"/>
    <x:sheet xmlns:r="http://schemas.openxmlformats.org/officeDocument/2006/relationships" name="Issue Log" sheetId="4" r:id="R36bdd969be5f4b40"/>
    <x:sheet xmlns:r="http://schemas.openxmlformats.org/officeDocument/2006/relationships" name="Follow-up Tracker" sheetId="5" r:id="Rac6b84ceb7824047"/>
    <x:sheet xmlns:r="http://schemas.openxmlformats.org/officeDocument/2006/relationships" name="Executive Summary" sheetId="6" r:id="Rb0b3f540a7c04c05"/>
  </x:sheets>
</x:workbook>
</file>

<file path=xl/sharedStrings.xml><?xml version="1.0" encoding="utf-8"?>
<x:sst xmlns:x="http://schemas.openxmlformats.org/spreadsheetml/2006/main">
  <x:si>
    <x:t xml:space="preserve">PROJECT 03  |  CRM DATA CLEANUP &amp; LEAD TRACKING</x:t>
  </x:si>
  <x:si>
    <x:t xml:space="preserve">NORTHSTAR CONSULTING  •  FICTIONAL TRAINING DATA</x:t>
  </x:si>
  <x:si>
    <x:t xml:space="preserve">Your role</x:t>
  </x:si>
  <x:si>
    <x:t xml:space="preserve">CRM Support Assistant</x:t>
  </x:si>
  <x:si>
    <x:t xml:space="preserve">Manager</x:t>
  </x:si>
  <x:si>
    <x:t xml:space="preserve">Alex Morgan</x:t>
  </x:si>
  <x:si>
    <x:t xml:space="preserve">Work date</x:t>
  </x:si>
  <x:si>
    <x:t xml:space="preserve">October 19, 2026</x:t>
  </x:si>
  <x:si>
    <x:t xml:space="preserve">Deadline</x:t>
  </x:si>
  <x:si>
    <x:t xml:space="preserve">October 21, 2026 at 3:00 PM</x:t>
  </x:si>
  <x:si>
    <x:t xml:space="preserve">Goal</x:t>
  </x:si>
  <x:si>
    <x:t xml:space="preserve">Make the contact list more reliable and show which leads need follow-up.</x:t>
  </x:si>
  <x:si>
    <x:t xml:space="preserve">Important</x:t>
  </x:si>
  <x:si>
    <x:t xml:space="preserve">Every name, company, email and phone number is fictional. Do not email or call any contact.</x:t>
  </x:si>
  <x:si>
    <x:t xml:space="preserve">YOUR TASKS</x:t>
  </x:si>
  <x:si>
    <x:t xml:space="preserve">01</x:t>
  </x:si>
  <x:si>
    <x:t xml:space="preserve">Cleaned Contacts</x:t>
  </x:si>
  <x:si>
    <x:t xml:space="preserve">Work in the prefilled copy. Fix clear formatting issues; keep Raw CRM Export unchanged.</x:t>
  </x:si>
  <x:si>
    <x:t xml:space="preserve">02</x:t>
  </x:si>
  <x:si>
    <x:t xml:space="preserve">Issue Log</x:t>
  </x:si>
  <x:si>
    <x:t xml:space="preserve">Record duplicates, invalid/missing details, conflicting data, and what you did. Do not guess.</x:t>
  </x:si>
  <x:si>
    <x:t xml:space="preserve">03</x:t>
  </x:si>
  <x:si>
    <x:t xml:space="preserve">Follow-up Tracker</x:t>
  </x:si>
  <x:si>
    <x:t xml:space="preserve">Track open leads with upcoming or overdue follow-ups as of Oct 19.</x:t>
  </x:si>
  <x:si>
    <x:t xml:space="preserve">04</x:t>
  </x:si>
  <x:si>
    <x:t xml:space="preserve">Executive Summary</x:t>
  </x:si>
  <x:si>
    <x:t xml:space="preserve">Fill in the metrics and write a brief update for Alex.</x:t>
  </x:si>
  <x:si>
    <x:t xml:space="preserve">05</x:t>
  </x:si>
  <x:si>
    <x:t xml:space="preserve">Cleaning Decision Summary</x:t>
  </x:si>
  <x:si>
    <x:t xml:space="preserve">Explain how you decided what to fix, merge, or flag.</x:t>
  </x:si>
  <x:si>
    <x:t xml:space="preserve">DATA HANDLING RULES</x:t>
  </x:si>
  <x:si>
    <x:t xml:space="preserve">1. Do not change or delete any rows in Raw CRM Export. It is your backup.</x:t>
  </x:si>
  <x:si>
    <x:t xml:space="preserve">2. Trim extra spaces, use consistent name/company casing, and make email addresses lowercase.</x:t>
  </x:si>
  <x:si>
    <x:t xml:space="preserve">3. Use these lead stages: New, Contacted, Qualified, Proposal Sent, Won, Lost. Flag unclear stages for review.</x:t>
  </x:si>
  <x:si>
    <x:t xml:space="preserve">4. Standardize readable dates as YYYY-MM-DD. Do not guess an ambiguous or missing date.</x:t>
  </x:si>
  <x:si>
    <x:t xml:space="preserve">5. Review potential duplicates carefully. The same email alone does NOT prove two different names are the same person.</x:t>
  </x:si>
  <x:si>
    <x:t xml:space="preserve">6. Keep the best supported information when combining clear duplicates and log the original record IDs.</x:t>
  </x:si>
  <x:si>
    <x:t xml:space="preserve">7. Do not invent missing emails, phone numbers, or follow-up dates. Flag anything needing a manager's answer.</x:t>
  </x:si>
  <x:si>
    <x:t xml:space="preserve">8. Report overdue items based on October 19, 2026. A follow-up in the past is not automatically completed.</x:t>
  </x:si>
  <x:si>
    <x:t xml:space="preserve">When finished, upload the workbook or screenshots. We'll review the cleanup decisions together.</x:t>
  </x:si>
  <x:si>
    <x:t xml:space="preserve">Record ID</x:t>
  </x:si>
  <x:si>
    <x:t xml:space="preserve">First Name</x:t>
  </x:si>
  <x:si>
    <x:t xml:space="preserve">Last Name</x:t>
  </x:si>
  <x:si>
    <x:t xml:space="preserve">Company</x:t>
  </x:si>
  <x:si>
    <x:t xml:space="preserve">Job Title</x:t>
  </x:si>
  <x:si>
    <x:t xml:space="preserve">Email</x:t>
  </x:si>
  <x:si>
    <x:t xml:space="preserve">Phone</x:t>
  </x:si>
  <x:si>
    <x:t xml:space="preserve">Lead Source</x:t>
  </x:si>
  <x:si>
    <x:t xml:space="preserve">Lead Status</x:t>
  </x:si>
  <x:si>
    <x:t xml:space="preserve">Last Contact</x:t>
  </x:si>
  <x:si>
    <x:t xml:space="preserve">Next Follow-up</x:t>
  </x:si>
  <x:si>
    <x:t xml:space="preserve">Assigned To</x:t>
  </x:si>
  <x:si>
    <x:t xml:space="preserve">Notes</x:t>
  </x:si>
  <x:si>
    <x:t xml:space="preserve">CRM-001</x:t>
  </x:si>
  <x:si>
    <x:t xml:space="preserve">Alicia</x:t>
  </x:si>
  <x:si>
    <x:t xml:space="preserve">Santos</x:t>
  </x:si>
  <x:si>
    <x:t xml:space="preserve">Meridian Studio</x:t>
  </x:si>
  <x:si>
    <x:t xml:space="preserve">Operations Manager</x:t>
  </x:si>
  <x:si>
    <x:t xml:space="preserve">alicia.santos@example.com</x:t>
  </x:si>
  <x:si>
    <x:t xml:space="preserve">000-0101</x:t>
  </x:si>
  <x:si>
    <x:t xml:space="preserve">Website</x:t>
  </x:si>
  <x:si>
    <x:t xml:space="preserve">Qualified</x:t>
  </x:si>
  <x:si>
    <x:t xml:space="preserve">2026-10-07</x:t>
  </x:si>
  <x:si>
    <x:t xml:space="preserve">2026-10-20</x:t>
  </x:si>
  <x:si>
    <x:t xml:space="preserve">Mika</x:t>
  </x:si>
  <x:si>
    <x:t xml:space="preserve">Asked for a service overview</x:t>
  </x:si>
  <x:si>
    <x:t xml:space="preserve">CRM-002</x:t>
  </x:si>
  <x:si>
    <x:t xml:space="preserve">Ben</x:t>
  </x:si>
  <x:si>
    <x:t xml:space="preserve">Cruz</x:t>
  </x:si>
  <x:si>
    <x:t xml:space="preserve">Harborpoint Trading</x:t>
  </x:si>
  <x:si>
    <x:t xml:space="preserve">Managing Partner</x:t>
  </x:si>
  <x:si>
    <x:t xml:space="preserve">ben.cruz@example.com</x:t>
  </x:si>
  <x:si>
    <x:t xml:space="preserve">000-0102</x:t>
  </x:si>
  <x:si>
    <x:t xml:space="preserve">Referral</x:t>
  </x:si>
  <x:si>
    <x:t xml:space="preserve">Contacted</x:t>
  </x:si>
  <x:si>
    <x:t xml:space="preserve">Oct 12, 2026</x:t>
  </x:si>
  <x:si>
    <x:t xml:space="preserve">2026-10-21</x:t>
  </x:si>
  <x:si>
    <x:t xml:space="preserve">Noel</x:t>
  </x:si>
  <x:si>
    <x:t xml:space="preserve">Requested a short introductory call</x:t>
  </x:si>
  <x:si>
    <x:t xml:space="preserve">CRM-003</x:t>
  </x:si>
  <x:si>
    <x:t xml:space="preserve">Camille</x:t>
  </x:si>
  <x:si>
    <x:t xml:space="preserve">Reyes</x:t>
  </x:si>
  <x:si>
    <x:t xml:space="preserve">Pine &amp; Co.</x:t>
  </x:si>
  <x:si>
    <x:t xml:space="preserve">Office Manager</x:t>
  </x:si>
  <x:si>
    <x:t xml:space="preserve">camille.reyes@example.com</x:t>
  </x:si>
  <x:si>
    <x:t xml:space="preserve">000-0103</x:t>
  </x:si>
  <x:si>
    <x:t xml:space="preserve">Event</x:t>
  </x:si>
  <x:si>
    <x:t xml:space="preserve">New</x:t>
  </x:si>
  <x:si>
    <x:t xml:space="preserve">2026-10-23</x:t>
  </x:si>
  <x:si>
    <x:t xml:space="preserve">Met at networking event</x:t>
  </x:si>
  <x:si>
    <x:t xml:space="preserve">CRM-004</x:t>
  </x:si>
  <x:si>
    <x:t xml:space="preserve">Daniel</x:t>
  </x:si>
  <x:si>
    <x:t xml:space="preserve">Lim</x:t>
  </x:si>
  <x:si>
    <x:t xml:space="preserve">Tern Labs</x:t>
  </x:si>
  <x:si>
    <x:t xml:space="preserve">Founder</x:t>
  </x:si>
  <x:si>
    <x:t xml:space="preserve">daniel.lim@example.com</x:t>
  </x:si>
  <x:si>
    <x:t xml:space="preserve">000-0104</x:t>
  </x:si>
  <x:si>
    <x:t xml:space="preserve">LinkedIn</x:t>
  </x:si>
  <x:si>
    <x:t xml:space="preserve">proposal sent</x:t>
  </x:si>
  <x:si>
    <x:t xml:space="preserve">2026-10-10</x:t>
  </x:si>
  <x:si>
    <x:t xml:space="preserve">2026-10-19</x:t>
  </x:si>
  <x:si>
    <x:t xml:space="preserve">Waiting for feedback on proposal</x:t>
  </x:si>
  <x:si>
    <x:t xml:space="preserve">CRM-005</x:t>
  </x:si>
  <x:si>
    <x:t xml:space="preserve">Ella</x:t>
  </x:si>
  <x:si>
    <x:t xml:space="preserve">Navarro</x:t>
  </x:si>
  <x:si>
    <x:t xml:space="preserve">Mariner Works</x:t>
  </x:si>
  <x:si>
    <x:t xml:space="preserve">HR Lead</x:t>
  </x:si>
  <x:si>
    <x:t xml:space="preserve">ella.navarro@example.com</x:t>
  </x:si>
  <x:si>
    <x:t xml:space="preserve">000-0105</x:t>
  </x:si>
  <x:si>
    <x:t xml:space="preserve">CONTACTED</x:t>
  </x:si>
  <x:si>
    <x:t xml:space="preserve">2026/10/06</x:t>
  </x:si>
  <x:si>
    <x:t xml:space="preserve">Oct 18, 2026</x:t>
  </x:si>
  <x:si>
    <x:t xml:space="preserve">Requested a call back</x:t>
  </x:si>
  <x:si>
    <x:t xml:space="preserve">CRM-006</x:t>
  </x:si>
  <x:si>
    <x:t xml:space="preserve">Francis</x:t>
  </x:si>
  <x:si>
    <x:t xml:space="preserve">Tan</x:t>
  </x:si>
  <x:si>
    <x:t xml:space="preserve">Lumen Procurement</x:t>
  </x:si>
  <x:si>
    <x:t xml:space="preserve">Director</x:t>
  </x:si>
  <x:si>
    <x:t xml:space="preserve">francis.tan@example.com</x:t>
  </x:si>
  <x:si>
    <x:t xml:space="preserve">000-0106</x:t>
  </x:si>
  <x:si>
    <x:t xml:space="preserve">2026-10-14</x:t>
  </x:si>
  <x:si>
    <x:t xml:space="preserve">2026-10-22</x:t>
  </x:si>
  <x:si>
    <x:t xml:space="preserve">Asked for pricing details</x:t>
  </x:si>
  <x:si>
    <x:t xml:space="preserve">CRM-007</x:t>
  </x:si>
  <x:si>
    <x:t xml:space="preserve">Grace</x:t>
  </x:si>
  <x:si>
    <x:t xml:space="preserve">Mendoza</x:t>
  </x:si>
  <x:si>
    <x:t xml:space="preserve">Everfield Services</x:t>
  </x:si>
  <x:si>
    <x:t xml:space="preserve">Admin Supervisor</x:t>
  </x:si>
  <x:si>
    <x:t xml:space="preserve">grace.mendoza@example.com</x:t>
  </x:si>
  <x:si>
    <x:t xml:space="preserve">000-0107</x:t>
  </x:si>
  <x:si>
    <x:t xml:space="preserve">2026-10-28</x:t>
  </x:si>
  <x:si>
    <x:t xml:space="preserve">Interested in process improvements</x:t>
  </x:si>
  <x:si>
    <x:t xml:space="preserve">CRM-008</x:t>
  </x:si>
  <x:si>
    <x:t xml:space="preserve">Hector</x:t>
  </x:si>
  <x:si>
    <x:t xml:space="preserve">Ramos</x:t>
  </x:si>
  <x:si>
    <x:t xml:space="preserve">North Cove Partners</x:t>
  </x:si>
  <x:si>
    <x:t xml:space="preserve">COO</x:t>
  </x:si>
  <x:si>
    <x:t xml:space="preserve">hector.ramos@example.com</x:t>
  </x:si>
  <x:si>
    <x:t xml:space="preserve">000-0108</x:t>
  </x:si>
  <x:si>
    <x:t xml:space="preserve">2026-10-09</x:t>
  </x:si>
  <x:si>
    <x:t xml:space="preserve">Follow up on discovery call</x:t>
  </x:si>
  <x:si>
    <x:t xml:space="preserve">CRM-009</x:t>
  </x:si>
  <x:si>
    <x:t xml:space="preserve">Isabel</x:t>
  </x:si>
  <x:si>
    <x:t xml:space="preserve">Dela Cruz</x:t>
  </x:si>
  <x:si>
    <x:t xml:space="preserve">Cedarbridge Group</x:t>
  </x:si>
  <x:si>
    <x:t xml:space="preserve">People Operations</x:t>
  </x:si>
  <x:si>
    <x:t xml:space="preserve">000-0109</x:t>
  </x:si>
  <x:si>
    <x:t xml:space="preserve">2026-10-26</x:t>
  </x:si>
  <x:si>
    <x:t xml:space="preserve">Email address not provided</x:t>
  </x:si>
  <x:si>
    <x:t xml:space="preserve">CRM-010</x:t>
  </x:si>
  <x:si>
    <x:t xml:space="preserve">Jonas</x:t>
  </x:si>
  <x:si>
    <x:t xml:space="preserve">Garcia</x:t>
  </x:si>
  <x:si>
    <x:t xml:space="preserve">Summitline Digital</x:t>
  </x:si>
  <x:si>
    <x:t xml:space="preserve">Project Manager</x:t>
  </x:si>
  <x:si>
    <x:t xml:space="preserve">jonas.garcia@example.com</x:t>
  </x:si>
  <x:si>
    <x:t xml:space="preserve">000-0110</x:t>
  </x:si>
  <x:si>
    <x:t xml:space="preserve">linkedin</x:t>
  </x:si>
  <x:si>
    <x:t xml:space="preserve">2026-10-15</x:t>
  </x:si>
  <x:si>
    <x:t xml:space="preserve">Requested a draft timeline</x:t>
  </x:si>
  <x:si>
    <x:t xml:space="preserve">CRM-011</x:t>
  </x:si>
  <x:si>
    <x:t xml:space="preserve">Kara</x:t>
  </x:si>
  <x:si>
    <x:t xml:space="preserve">Uy</x:t>
  </x:si>
  <x:si>
    <x:t xml:space="preserve">Bluehaven Logistics</x:t>
  </x:si>
  <x:si>
    <x:t xml:space="preserve">Finance Lead</x:t>
  </x:si>
  <x:si>
    <x:t xml:space="preserve">kara.uy@example.com</x:t>
  </x:si>
  <x:si>
    <x:t xml:space="preserve">000-0111</x:t>
  </x:si>
  <x:si>
    <x:t xml:space="preserve">contacted</x:t>
  </x:si>
  <x:si>
    <x:t xml:space="preserve">Oct 8 2026</x:t>
  </x:si>
  <x:si>
    <x:t xml:space="preserve">Needs follow-up on package details</x:t>
  </x:si>
  <x:si>
    <x:t xml:space="preserve">CRM-012</x:t>
  </x:si>
  <x:si>
    <x:t xml:space="preserve">Leo</x:t>
  </x:si>
  <x:si>
    <x:t xml:space="preserve">Fernandez</x:t>
  </x:si>
  <x:si>
    <x:t xml:space="preserve">Stonehill Advisory</x:t>
  </x:si>
  <x:si>
    <x:t xml:space="preserve">Owner</x:t>
  </x:si>
  <x:si>
    <x:t xml:space="preserve">leo.fernandez@example.com</x:t>
  </x:si>
  <x:si>
    <x:t xml:space="preserve">000-0112</x:t>
  </x:si>
  <x:si>
    <x:t xml:space="preserve">2026-10-27</x:t>
  </x:si>
  <x:si>
    <x:t xml:space="preserve">Asked for examples of past work</x:t>
  </x:si>
  <x:si>
    <x:t xml:space="preserve">CRM-013</x:t>
  </x:si>
  <x:si>
    <x:t xml:space="preserve">SANTOS</x:t>
  </x:si>
  <x:si>
    <x:t xml:space="preserve">meridian studio</x:t>
  </x:si>
  <x:si>
    <x:t xml:space="preserve">Operations Mgr</x:t>
  </x:si>
  <x:si>
    <x:t xml:space="preserve">ALICIA.SANTOS@example.com</x:t>
  </x:si>
  <x:si>
    <x:t xml:space="preserve">000 0101</x:t>
  </x:si>
  <x:si>
    <x:t xml:space="preserve">web form</x:t>
  </x:si>
  <x:si>
    <x:t xml:space="preserve">qualified</x:t>
  </x:si>
  <x:si>
    <x:t xml:space="preserve">mika</x:t>
  </x:si>
  <x:si>
    <x:t xml:space="preserve">May be duplicate of CRM-001; more recent note</x:t>
  </x:si>
  <x:si>
    <x:t xml:space="preserve">CRM-014</x:t>
  </x:si>
  <x:si>
    <x:t xml:space="preserve">Mina</x:t>
  </x:si>
  <x:si>
    <x:t xml:space="preserve">Castillo</x:t>
  </x:si>
  <x:si>
    <x:t xml:space="preserve">Orbit Retail</x:t>
  </x:si>
  <x:si>
    <x:t xml:space="preserve">mina.castillo@example.com</x:t>
  </x:si>
  <x:si>
    <x:t xml:space="preserve">000-0114</x:t>
  </x:si>
  <x:si>
    <x:t xml:space="preserve">2026-10-11</x:t>
  </x:si>
  <x:si>
    <x:t xml:space="preserve">Interested, but no follow-up date entered</x:t>
  </x:si>
  <x:si>
    <x:t xml:space="preserve">CRM-015</x:t>
  </x:si>
  <x:si>
    <x:t xml:space="preserve">Nico</x:t>
  </x:si>
  <x:si>
    <x:t xml:space="preserve">Bautista</x:t>
  </x:si>
  <x:si>
    <x:t xml:space="preserve">Bright Path Events</x:t>
  </x:si>
  <x:si>
    <x:t xml:space="preserve">Procurement Officer</x:t>
  </x:si>
  <x:si>
    <x:t xml:space="preserve">nico.bautista@example.com</x:t>
  </x:si>
  <x:si>
    <x:t xml:space="preserve">000-0115</x:t>
  </x:si>
  <x:si>
    <x:t xml:space="preserve">2026-10-29</x:t>
  </x:si>
  <x:si>
    <x:t xml:space="preserve">Contact form submission</x:t>
  </x:si>
  <x:si>
    <x:t xml:space="preserve">CRM-016</x:t>
  </x:si>
  <x:si>
    <x:t xml:space="preserve">Olivia</x:t>
  </x:si>
  <x:si>
    <x:t xml:space="preserve">Chua</x:t>
  </x:si>
  <x:si>
    <x:t xml:space="preserve">Redfern Health Admin</x:t>
  </x:si>
  <x:si>
    <x:t xml:space="preserve">Operations Director</x:t>
  </x:si>
  <x:si>
    <x:t xml:space="preserve">olivia.chua@example.com</x:t>
  </x:si>
  <x:si>
    <x:t xml:space="preserve">000-0116</x:t>
  </x:si>
  <x:si>
    <x:t xml:space="preserve">Follow Up</x:t>
  </x:si>
  <x:si>
    <x:t xml:space="preserve">2026-10-13</x:t>
  </x:si>
  <x:si>
    <x:t xml:space="preserve">Status requires clarification</x:t>
  </x:si>
  <x:si>
    <x:t xml:space="preserve">CRM-017</x:t>
  </x:si>
  <x:si>
    <x:t xml:space="preserve">Paolo</x:t>
  </x:si>
  <x:si>
    <x:t xml:space="preserve">Mercado</x:t>
  </x:si>
  <x:si>
    <x:t xml:space="preserve">Bayview Research</x:t>
  </x:si>
  <x:si>
    <x:t xml:space="preserve">Analyst</x:t>
  </x:si>
  <x:si>
    <x:t xml:space="preserve">paolo.mercado@example.com</x:t>
  </x:si>
  <x:si>
    <x:t xml:space="preserve">000-0117</x:t>
  </x:si>
  <x:si>
    <x:t xml:space="preserve">Closed Lost</x:t>
  </x:si>
  <x:si>
    <x:t xml:space="preserve">2026-09-30</x:t>
  </x:si>
  <x:si>
    <x:t xml:space="preserve">Declined for now</x:t>
  </x:si>
  <x:si>
    <x:t xml:space="preserve">CRM-018</x:t>
  </x:si>
  <x:si>
    <x:t xml:space="preserve">Quinn</x:t>
  </x:si>
  <x:si>
    <x:t xml:space="preserve">Ocampo</x:t>
  </x:si>
  <x:si>
    <x:t xml:space="preserve">Eastridge Solutions</x:t>
  </x:si>
  <x:si>
    <x:t xml:space="preserve">Office Coordinator</x:t>
  </x:si>
  <x:si>
    <x:t xml:space="preserve">quinn.ocampo.example.com</x:t>
  </x:si>
  <x:si>
    <x:t xml:space="preserve">000-0118</x:t>
  </x:si>
  <x:si>
    <x:t xml:space="preserve">2026-10-12</x:t>
  </x:si>
  <x:si>
    <x:t xml:space="preserve">Email may be invalid</x:t>
  </x:si>
  <x:si>
    <x:t xml:space="preserve">CRM-019</x:t>
  </x:si>
  <x:si>
    <x:t xml:space="preserve">Rina</x:t>
  </x:si>
  <x:si>
    <x:t xml:space="preserve">Flores</x:t>
  </x:si>
  <x:si>
    <x:t xml:space="preserve">Horizon Collective</x:t>
  </x:si>
  <x:si>
    <x:t xml:space="preserve">Operations Lead</x:t>
  </x:si>
  <x:si>
    <x:t xml:space="preserve">rina.flores@example.com</x:t>
  </x:si>
  <x:si>
    <x:t xml:space="preserve">000-0119</x:t>
  </x:si>
  <x:si>
    <x:t xml:space="preserve">2026-10-16</x:t>
  </x:si>
  <x:si>
    <x:t xml:space="preserve">Requested a meeting</x:t>
  </x:si>
  <x:si>
    <x:t xml:space="preserve">CRM-020</x:t>
  </x:si>
  <x:si>
    <x:t xml:space="preserve">Sam</x:t>
  </x:si>
  <x:si>
    <x:t xml:space="preserve">Villanueva</x:t>
  </x:si>
  <x:si>
    <x:t xml:space="preserve">000-0120</x:t>
  </x:si>
  <x:si>
    <x:t xml:space="preserve">Email may belong to another contact; do not merge automatically</x:t>
  </x:si>
  <x:si>
    <x:t xml:space="preserve">CRM-021</x:t>
  </x:si>
  <x:si>
    <x:t xml:space="preserve">Tessa</x:t>
  </x:si>
  <x:si>
    <x:t xml:space="preserve">Cabrera</x:t>
  </x:si>
  <x:si>
    <x:t xml:space="preserve">Clearwater Admin</x:t>
  </x:si>
  <x:si>
    <x:t xml:space="preserve">HR Manager</x:t>
  </x:si>
  <x:si>
    <x:t xml:space="preserve">TESSA.CABRERA@EXAMPLE.COM</x:t>
  </x:si>
  <x:si>
    <x:t xml:space="preserve">(000) 0121</x:t>
  </x:si>
  <x:si>
    <x:t xml:space="preserve">website</x:t>
  </x:si>
  <x:si>
    <x:t xml:space="preserve">NEW</x:t>
  </x:si>
  <x:si>
    <x:t xml:space="preserve">2026-10-30</x:t>
  </x:si>
  <x:si>
    <x:t xml:space="preserve">Capitalization and spacing inconsistent</x:t>
  </x:si>
  <x:si>
    <x:t xml:space="preserve">CRM-022</x:t>
  </x:si>
  <x:si>
    <x:t xml:space="preserve">Ulysses</x:t>
  </x:si>
  <x:si>
    <x:t xml:space="preserve">Serrano</x:t>
  </x:si>
  <x:si>
    <x:t xml:space="preserve">Fieldwork Creative</x:t>
  </x:si>
  <x:si>
    <x:t xml:space="preserve">Principal</x:t>
  </x:si>
  <x:si>
    <x:t xml:space="preserve">ulysses.serrano@example.com</x:t>
  </x:si>
  <x:si>
    <x:t xml:space="preserve">000-0122</x:t>
  </x:si>
  <x:si>
    <x:t xml:space="preserve">Proposal Sent</x:t>
  </x:si>
  <x:si>
    <x:t xml:space="preserve">2026-10-05</x:t>
  </x:si>
  <x:si>
    <x:t xml:space="preserve">Past follow-up date</x:t>
  </x:si>
  <x:si>
    <x:t xml:space="preserve">CRM-023</x:t>
  </x:si>
  <x:si>
    <x:t xml:space="preserve">Vera</x:t>
  </x:si>
  <x:si>
    <x:t xml:space="preserve">Salazar</x:t>
  </x:si>
  <x:si>
    <x:t xml:space="preserve">Quartz Office Group</x:t>
  </x:si>
  <x:si>
    <x:t xml:space="preserve">vera.salazar@example.com</x:t>
  </x:si>
  <x:si>
    <x:t xml:space="preserve">000-0123</x:t>
  </x:si>
  <x:si>
    <x:t xml:space="preserve">Web form</x:t>
  </x:si>
  <x:si>
    <x:t xml:space="preserve">2026-10-17</x:t>
  </x:si>
  <x:si>
    <x:t xml:space="preserve">Follow-up date precedes last contact</x:t>
  </x:si>
  <x:si>
    <x:t xml:space="preserve">CRM-024</x:t>
  </x:si>
  <x:si>
    <x:t xml:space="preserve">Wes</x:t>
  </x:si>
  <x:si>
    <x:t xml:space="preserve">Lopez</x:t>
  </x:si>
  <x:si>
    <x:t xml:space="preserve">Delta Pacific</x:t>
  </x:si>
  <x:si>
    <x:t xml:space="preserve">wes.lopez@example.com</x:t>
  </x:si>
  <x:si>
    <x:t xml:space="preserve">+63-000-0124</x:t>
  </x:si>
  <x:si>
    <x:t xml:space="preserve">2026-10-24</x:t>
  </x:si>
  <x:si>
    <x:t xml:space="preserve">Asked about availability</x:t>
  </x:si>
  <x:si>
    <x:t xml:space="preserve">CRM-025</x:t>
  </x:si>
  <x:si>
    <x:t xml:space="preserve">Xena</x:t>
  </x:si>
  <x:si>
    <x:t xml:space="preserve">Moran</x:t>
  </x:si>
  <x:si>
    <x:t xml:space="preserve">Oakwell Partners</x:t>
  </x:si>
  <x:si>
    <x:t xml:space="preserve">Executive Coordinator</x:t>
  </x:si>
  <x:si>
    <x:t xml:space="preserve">xena.moran@example.com</x:t>
  </x:si>
  <x:si>
    <x:t xml:space="preserve">000-0125</x:t>
  </x:si>
  <x:si>
    <x:t xml:space="preserve">Referred by existing partner</x:t>
  </x:si>
  <x:si>
    <x:t xml:space="preserve">CRM-026</x:t>
  </x:si>
  <x:si>
    <x:t xml:space="preserve">Yuri</x:t>
  </x:si>
  <x:si>
    <x:t xml:space="preserve">Valdez</x:t>
  </x:si>
  <x:si>
    <x:t xml:space="preserve">Lakefront Consulting</x:t>
  </x:si>
  <x:si>
    <x:t xml:space="preserve">Team Lead</x:t>
  </x:si>
  <x:si>
    <x:t xml:space="preserve">yuri.valdez@example.com</x:t>
  </x:si>
  <x:si>
    <x:t xml:space="preserve">000-0126</x:t>
  </x:si>
  <x:si>
    <x:t xml:space="preserve">Qual</x:t>
  </x:si>
  <x:si>
    <x:t xml:space="preserve">Abbreviated status needs review</x:t>
  </x:si>
  <x:si>
    <x:t xml:space="preserve">CRM-027</x:t>
  </x:si>
  <x:si>
    <x:t xml:space="preserve">Zara</x:t>
  </x:si>
  <x:si>
    <x:t xml:space="preserve">Domingo</x:t>
  </x:si>
  <x:si>
    <x:t xml:space="preserve">Metrocrest Agency</x:t>
  </x:si>
  <x:si>
    <x:t xml:space="preserve">Head of Admin</x:t>
  </x:si>
  <x:si>
    <x:t xml:space="preserve">zara.domingo@example.com</x:t>
  </x:si>
  <x:si>
    <x:t xml:space="preserve">000-0127</x:t>
  </x:si>
  <x:si>
    <x:t xml:space="preserve">Won</x:t>
  </x:si>
  <x:si>
    <x:t xml:space="preserve">2026-10-02</x:t>
  </x:si>
  <x:si>
    <x:t xml:space="preserve">Agreement recorded by sales</x:t>
  </x:si>
  <x:si>
    <x:t xml:space="preserve">CRM-028</x:t>
  </x:si>
  <x:si>
    <x:t xml:space="preserve">CRUZ</x:t>
  </x:si>
  <x:si>
    <x:t xml:space="preserve">BEN.CRUZ@example.com</x:t>
  </x:si>
  <x:si>
    <x:t xml:space="preserve">000 0102</x:t>
  </x:si>
  <x:si>
    <x:t xml:space="preserve">referral</x:t>
  </x:si>
  <x:si>
    <x:t xml:space="preserve">May duplicate CRM-002; latest interaction</x:t>
  </x:si>
  <x:si>
    <x:t xml:space="preserve">CRM-029</x:t>
  </x:si>
  <x:si>
    <x:t xml:space="preserve">2026-10-25</x:t>
  </x:si>
  <x:si>
    <x:t xml:space="preserve">May duplicate CRM-014; different follow-up date</x:t>
  </x:si>
  <x:si>
    <x:t xml:space="preserve">CRM-030</x:t>
  </x:si>
  <x:si>
    <x:t xml:space="preserve">Ravi</x:t>
  </x:si>
  <x:si>
    <x:t xml:space="preserve">Aquino</x:t>
  </x:si>
  <x:si>
    <x:t xml:space="preserve">Pinnacle Media</x:t>
  </x:si>
  <x:si>
    <x:t xml:space="preserve">Admin Manager</x:t>
  </x:si>
  <x:si>
    <x:t xml:space="preserve">ravi.aquino@example</x:t>
  </x:si>
  <x:si>
    <x:t xml:space="preserve">000-0130</x:t>
  </x:si>
  <x:si>
    <x:t xml:space="preserve">Email format needs review</x:t>
  </x:si>
  <x:si>
    <x:t xml:space="preserve">CRM-031</x:t>
  </x:si>
  <x:si>
    <x:t xml:space="preserve">Sofia</x:t>
  </x:si>
  <x:si>
    <x:t xml:space="preserve">Del Rosario</x:t>
  </x:si>
  <x:si>
    <x:t xml:space="preserve">Bayside Office</x:t>
  </x:si>
  <x:si>
    <x:t xml:space="preserve">sofia.delrosario@example.com</x:t>
  </x:si>
  <x:si>
    <x:t xml:space="preserve">000-0131</x:t>
  </x:si>
  <x:si>
    <x:t xml:space="preserve">2026-10-08</x:t>
  </x:si>
  <x:si>
    <x:t xml:space="preserve">Owner not assigned</x:t>
  </x:si>
  <x:si>
    <x:t xml:space="preserve">CRM-032</x:t>
  </x:si>
  <x:si>
    <x:t xml:space="preserve">(000) 0112</x:t>
  </x:si>
  <x:si>
    <x:t xml:space="preserve">event</x:t>
  </x:si>
  <x:si>
    <x:t xml:space="preserve">new</x:t>
  </x:si>
  <x:si>
    <x:t xml:space="preserve">Possible duplicate of CRM-012</x:t>
  </x:si>
  <x:si>
    <x:t xml:space="preserve">CRM-033</x:t>
  </x:si>
  <x:si>
    <x:t xml:space="preserve">Theo</x:t>
  </x:si>
  <x:si>
    <x:t xml:space="preserve">Pascual</x:t>
  </x:si>
  <x:si>
    <x:t xml:space="preserve">Riverbend Tech</x:t>
  </x:si>
  <x:si>
    <x:t xml:space="preserve">theo.pascual@example.com</x:t>
  </x:si>
  <x:si>
    <x:t xml:space="preserve">000-0133</x:t>
  </x:si>
  <x:si>
    <x:t xml:space="preserve">Requested a demo</x:t>
  </x:si>
  <x:si>
    <x:t xml:space="preserve">CRM-034</x:t>
  </x:si>
  <x:si>
    <x:t xml:space="preserve">Uma</x:t>
  </x:si>
  <x:si>
    <x:t xml:space="preserve">Westford Workspace</x:t>
  </x:si>
  <x:si>
    <x:t xml:space="preserve">Office Admin</x:t>
  </x:si>
  <x:si>
    <x:t xml:space="preserve">uma.ramos@example.com</x:t>
  </x:si>
  <x:si>
    <x:t xml:space="preserve">000-0134</x:t>
  </x:si>
  <x:si>
    <x:t xml:space="preserve">Overdue follow-up</x:t>
  </x:si>
  <x:si>
    <x:t xml:space="preserve">CRM-035</x:t>
  </x:si>
  <x:si>
    <x:t xml:space="preserve">Vince</x:t>
  </x:si>
  <x:si>
    <x:t xml:space="preserve">Soriano</x:t>
  </x:si>
  <x:si>
    <x:t xml:space="preserve">Silverleaf Co.</x:t>
  </x:si>
  <x:si>
    <x:t xml:space="preserve">CFO</x:t>
  </x:si>
  <x:si>
    <x:t xml:space="preserve">vince.soriano@example.com</x:t>
  </x:si>
  <x:si>
    <x:t xml:space="preserve">000-0135</x:t>
  </x:si>
  <x:si>
    <x:t xml:space="preserve">Not Sure</x:t>
  </x:si>
  <x:si>
    <x:t xml:space="preserve">Status was entered without a clear stage</x:t>
  </x:si>
  <x:si>
    <x:t xml:space="preserve">CRM-036</x:t>
  </x:si>
  <x:si>
    <x:t xml:space="preserve">Wendy</x:t>
  </x:si>
  <x:si>
    <x:t xml:space="preserve">Co</x:t>
  </x:si>
  <x:si>
    <x:t xml:space="preserve">Birch &amp; Lane</x:t>
  </x:si>
  <x:si>
    <x:t xml:space="preserve">Purchasing Manager</x:t>
  </x:si>
  <x:si>
    <x:t xml:space="preserve">wendy.co@example.com</x:t>
  </x:si>
  <x:si>
    <x:t xml:space="preserve">000-0136</x:t>
  </x:si>
  <x:si>
    <x:t xml:space="preserve">2026-10-18</x:t>
  </x:si>
  <x:si>
    <x:t xml:space="preserve">Asked about pricing options</x:t>
  </x:si>
  <x:si>
    <x:t xml:space="preserve">Quality Flag</x:t>
  </x:si>
  <x:si>
    <x:t xml:space="preserve">Ready - Duplicate Consolidated</x:t>
  </x:si>
  <x:si>
    <x:t xml:space="preserve">Ready</x:t>
  </x:si>
  <x:si>
    <x:t xml:space="preserve">Needs Review - Overdue Follow-up</x:t>
  </x:si>
  <x:si>
    <x:t xml:space="preserve">Needs Review - Missing Email</x:t>
  </x:si>
  <x:si>
    <x:t xml:space="preserve">Interested; follow-up date recorded in source CRM-029.</x:t>
  </x:si>
  <x:si>
    <x:t xml:space="preserve">Needs Review - Unclear Lead Status</x:t>
  </x:si>
  <x:si>
    <x:t xml:space="preserve">Lost</x:t>
  </x:si>
  <x:si>
    <x:t xml:space="preserve">Original email is invalid; correct address needs confirmation.</x:t>
  </x:si>
  <x:si>
    <x:t xml:space="preserve">Needs Review - Invalid Email</x:t>
  </x:si>
  <x:si>
    <x:t xml:space="preserve">Needs Review - Email Conflict</x:t>
  </x:si>
  <x:si>
    <x:t xml:space="preserve">tessa.cabrera@example.com</x:t>
  </x:si>
  <x:si>
    <x:t xml:space="preserve">000-0121</x:t>
  </x:si>
  <x:si>
    <x:t xml:space="preserve">Contact formatting standardized; see Issue Log.</x:t>
  </x:si>
  <x:si>
    <x:t xml:space="preserve">Web Form</x:t>
  </x:si>
  <x:si>
    <x:t xml:space="preserve">Follow-up date precedes last contact; confirm the source dates.</x:t>
  </x:si>
  <x:si>
    <x:t xml:space="preserve">Needs Review - Date Conflict</x:t>
  </x:si>
  <x:si>
    <x:t xml:space="preserve">Source email is incomplete; correct address needs confirmation.</x:t>
  </x:si>
  <x:si>
    <x:t xml:space="preserve">Needs Review - Missing Owner</x:t>
  </x:si>
  <x:si>
    <x:t xml:space="preserve">Issue ID</x:t>
  </x:si>
  <x:si>
    <x:t xml:space="preserve">Source Record ID(s)</x:t>
  </x:si>
  <x:si>
    <x:t xml:space="preserve">Issue Type</x:t>
  </x:si>
  <x:si>
    <x:t xml:space="preserve">What Was Wrong</x:t>
  </x:si>
  <x:si>
    <x:t xml:space="preserve">Action Taken</x:t>
  </x:si>
  <x:si>
    <x:t xml:space="preserve">Outcome</x:t>
  </x:si>
  <x:si>
    <x:t xml:space="preserve">Needs Alex?</x:t>
  </x:si>
  <x:si>
    <x:t xml:space="preserve">ISS-001</x:t>
  </x:si>
  <x:si>
    <x:t xml:space="preserve">CRM-001, CRM-013</x:t>
  </x:si>
  <x:si>
    <x:t xml:space="preserve">Possible Duplicate</x:t>
  </x:si>
  <x:si>
    <x:t xml:space="preserve">Same Alicia Santos contact; CRM-013 has a later last-contact date (Oct 9 versus Oct 7).</x:t>
  </x:si>
  <x:si>
    <x:t xml:space="preserve">Kept CRM-001, retained its contact details, updated last contact to Oct 9 from CRM-013, and removed duplicate row.</x:t>
  </x:si>
  <x:si>
    <x:t xml:space="preserve">Merged</x:t>
  </x:si>
  <x:si>
    <x:t xml:space="preserve">No</x:t>
  </x:si>
  <x:si>
    <x:t xml:space="preserve">ISS-002</x:t>
  </x:si>
  <x:si>
    <x:t xml:space="preserve">CRM-002, CRM-028</x:t>
  </x:si>
  <x:si>
    <x:t xml:space="preserve">Same Ben Cruz contact; CRM-028 records last contact Oct 15 versus Oct 12 in CRM-002.</x:t>
  </x:si>
  <x:si>
    <x:t xml:space="preserve">Kept CRM-002; updated last contact to Oct 15 from CRM-028 and removed duplicate row.</x:t>
  </x:si>
  <x:si>
    <x:t xml:space="preserve">ISS-003</x:t>
  </x:si>
  <x:si>
    <x:t xml:space="preserve">CRM-012, CRM-032</x:t>
  </x:si>
  <x:si>
    <x:t xml:space="preserve">Leo Fernandez has matching name, email, company, and follow-up across both records; phone format differs.</x:t>
  </x:si>
  <x:si>
    <x:t xml:space="preserve">Kept CRM-012 with consistent phone format and retained notes; removed CRM-032 from cleaned list.</x:t>
  </x:si>
  <x:si>
    <x:t xml:space="preserve">ISS-004</x:t>
  </x:si>
  <x:si>
    <x:t xml:space="preserve">CRM-014, CRM-029</x:t>
  </x:si>
  <x:si>
    <x:t xml:space="preserve">Same Mina Castillo contact; CRM-014 has no follow-up date but CRM-029 records Oct 25.</x:t>
  </x:si>
  <x:si>
    <x:t xml:space="preserve">Kept CRM-014; retained Oct 25 follow-up supported by CRM-029; updated outdated contact note; removed duplicate.</x:t>
  </x:si>
  <x:si>
    <x:t xml:space="preserve">ISS-005</x:t>
  </x:si>
  <x:si>
    <x:t xml:space="preserve">CRM-002, CRM-020</x:t>
  </x:si>
  <x:si>
    <x:t xml:space="preserve">Conflicting Information</x:t>
  </x:si>
  <x:si>
    <x:t xml:space="preserve">Sam Villanueva (CRM-020) was given Ben Cruz's email; names differ despite shared company.</x:t>
  </x:si>
  <x:si>
    <x:t xml:space="preserve">Kept both contacts separate and left CRM-020 email blank pending verification.</x:t>
  </x:si>
  <x:si>
    <x:t xml:space="preserve">Needs Verification</x:t>
  </x:si>
  <x:si>
    <x:t xml:space="preserve">Yes</x:t>
  </x:si>
  <x:si>
    <x:t xml:space="preserve">ISS-006</x:t>
  </x:si>
  <x:si>
    <x:t xml:space="preserve">Invalid Email</x:t>
  </x:si>
  <x:si>
    <x:t xml:space="preserve">Source email 'quinn.ocampo.example.com' lacks @; prior correction had no verified source.</x:t>
  </x:si>
  <x:si>
    <x:t xml:space="preserve">Cleared the guessed email in Cleaned Contacts; retained exact original address here.</x:t>
  </x:si>
  <x:si>
    <x:t xml:space="preserve">ISS-007</x:t>
  </x:si>
  <x:si>
    <x:t xml:space="preserve">Invalid Date</x:t>
  </x:si>
  <x:si>
    <x:t xml:space="preserve">Source last contact Oct 17 is after the Oct 16 follow-up date.</x:t>
  </x:si>
  <x:si>
    <x:t xml:space="preserve">Restored original dates in their respective fields without swapping; marked for confirmation.</x:t>
  </x:si>
  <x:si>
    <x:t xml:space="preserve">ISS-008</x:t>
  </x:si>
  <x:si>
    <x:t xml:space="preserve">Unclear Status</x:t>
  </x:si>
  <x:si>
    <x:t xml:space="preserve">Source status was 'Not Sure'; later choice 'Contacted' was not supported by a clear status record.</x:t>
  </x:si>
  <x:si>
    <x:t xml:space="preserve">Restored 'Not Sure' and marked status for review; kept documented contact and follow-up dates.</x:t>
  </x:si>
  <x:si>
    <x:t xml:space="preserve">ISS-009</x:t>
  </x:si>
  <x:si>
    <x:t xml:space="preserve">Missing Email</x:t>
  </x:si>
  <x:si>
    <x:t xml:space="preserve">No email was provided for Isabel Dela Cruz.</x:t>
  </x:si>
  <x:si>
    <x:t xml:space="preserve">Left email blank and marked record for verification; no address was invented.</x:t>
  </x:si>
  <x:si>
    <x:t xml:space="preserve">ISS-010</x:t>
  </x:si>
  <x:si>
    <x:t xml:space="preserve">Source email 'ravi.aquino@example' is incomplete.</x:t>
  </x:si>
  <x:si>
    <x:t xml:space="preserve">Left cleaned email blank, preserved the original value in this log, and flagged the record.</x:t>
  </x:si>
  <x:si>
    <x:t xml:space="preserve">ISS-011</x:t>
  </x:si>
  <x:si>
    <x:t xml:space="preserve">Missing Owner</x:t>
  </x:si>
  <x:si>
    <x:t xml:space="preserve">Contact owner is blank in the original source.</x:t>
  </x:si>
  <x:si>
    <x:t xml:space="preserve">Kept owner blank and flagged for Alex to assign; did not guess a name.</x:t>
  </x:si>
  <x:si>
    <x:t xml:space="preserve">ISS-012</x:t>
  </x:si>
  <x:si>
    <x:t xml:space="preserve">'Follow Up' is an action description, not a confirmed stage in the workbook's lead status list.</x:t>
  </x:si>
  <x:si>
    <x:t xml:space="preserve">Kept source status 'Follow Up' pending clarification; no stage was invented.</x:t>
  </x:si>
  <x:si>
    <x:t xml:space="preserve">ISS-013</x:t>
  </x:si>
  <x:si>
    <x:t xml:space="preserve">Source status 'Qual' is an abbreviation with no confirmed meaning.</x:t>
  </x:si>
  <x:si>
    <x:t xml:space="preserve">Kept the source value 'Qual' and flagged it rather than assuming 'Qualified'.</x:t>
  </x:si>
  <x:si>
    <x:t xml:space="preserve">ISS-014</x:t>
  </x:si>
  <x:si>
    <x:t xml:space="preserve">CRM-005, CRM-022, CRM-034</x:t>
  </x:si>
  <x:si>
    <x:t xml:space="preserve">Overdue Follow-up</x:t>
  </x:si>
  <x:si>
    <x:t xml:space="preserve">As of the Oct 19 exercise date, follow-ups were due Oct 18, Oct 14, and Oct 17 respectively.</x:t>
  </x:si>
  <x:si>
    <x:t xml:space="preserve">Kept original due dates and flagged each contact for follow-up; did not invent new deadlines.</x:t>
  </x:si>
  <x:si>
    <x:t xml:space="preserve">Needs Follow-up</x:t>
  </x:si>
  <x:si>
    <x:t xml:space="preserve">ISS-015</x:t>
  </x:si>
  <x:si>
    <x:t xml:space="preserve">CRM-004, CRM-005, CRM-010, CRM-011, CRM-017, CRM-021, CRM-023</x:t>
  </x:si>
  <x:si>
    <x:t xml:space="preserve">Formatting</x:t>
  </x:si>
  <x:si>
    <x:t xml:space="preserve">Inconsistent case and terminology in lead sources, lead statuses, contact owner, and dates.</x:t>
  </x:si>
  <x:si>
    <x:t xml:space="preserve">Standardized confirmed case/status values (e.g. Proposal Sent, Contacted, Lost, Website, LinkedIn); normalized date formatting.</x:t>
  </x:si>
  <x:si>
    <x:t xml:space="preserve">Corrected</x:t>
  </x:si>
  <x:si>
    <x:t xml:space="preserve">ISS-016</x:t>
  </x:si>
  <x:si>
    <x:t xml:space="preserve">Cleaned phone lost its original +63 prefix.</x:t>
  </x:si>
  <x:si>
    <x:t xml:space="preserve">Restored '+63-000-0124' exactly as provided in source CRM-024.</x:t>
  </x:si>
  <x:si>
    <x:t xml:space="preserve">Contact</x:t>
  </x:si>
  <x:si>
    <x:t xml:space="preserve">Follow-up Due</x:t>
  </x:si>
  <x:si>
    <x:t xml:space="preserve">Next Action</x:t>
  </x:si>
  <x:si>
    <x:t xml:space="preserve">Follow-up Status</x:t>
  </x:si>
  <x:si>
    <x:t xml:space="preserve">EXECUTIVE CRM CLEANUP SUMMARY</x:t>
  </x:si>
</x:sst>
</file>

<file path=xl/styles.xml><?xml version="1.0" encoding="utf-8"?>
<x:styleSheet xmlns:x="http://schemas.openxmlformats.org/spreadsheetml/2006/main">
  <x:numFmts count="3">
    <x:numFmt numFmtId="165" formatCode="yyyy\-mm\-dd"/>
    <x:numFmt numFmtId="200" formatCode="yyyy-mm-dd"/>
    <x:numFmt numFmtId="201" formatCode="#,##0"/>
  </x:numFmts>
  <x:fonts count="1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17365D"/>
      <x:name val="Carlito"/>
    </x:font>
    <x:font>
      <x:sz val="11"/>
      <x:color rgb="FF24364A"/>
      <x:name val="Carlito"/>
    </x:font>
    <x:font>
      <x:b/>
      <x:sz val="11"/>
      <x:color rgb="FFFFFFFF"/>
      <x:name val="Carlito"/>
    </x:font>
    <x:font>
      <x:sz val="10"/>
      <x:color rgb="FF24364A"/>
      <x:name val="Carlito"/>
    </x:font>
    <x:font>
      <x:sz val="10"/>
      <x:name val="Carlito"/>
    </x:font>
    <x:font>
      <x:b/>
      <x:sz val="11"/>
      <x:color rgb="FF17324D"/>
      <x:name val="Arial"/>
    </x:font>
    <x:font>
      <x:sz val="11"/>
      <x:color rgb="FF17324D"/>
      <x:name val="Arial"/>
    </x:font>
    <x:font>
      <x:b/>
      <x:sz val="11"/>
      <x:color rgb="FFFFFFFF"/>
      <x:name val="Arial"/>
    </x:font>
    <x:font>
      <x:b/>
      <x:sz val="16"/>
      <x:color rgb="FFFFFFFF"/>
      <x:name val="Arial"/>
    </x:font>
    <x:font>
      <x:b/>
      <x:sz val="10"/>
      <x:color rgb="FF17324D"/>
      <x:name val="Arial"/>
    </x:font>
    <x:font>
      <x:b/>
      <x:sz val="12"/>
      <x:color rgb="FF173F66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4F5"/>
      </x:patternFill>
    </x:fill>
    <x:fill>
      <x:patternFill patternType="solid">
        <x:fgColor rgb="FF274260"/>
      </x:patternFill>
    </x:fill>
    <x:fill>
      <x:patternFill patternType="solid">
        <x:fgColor rgb="FF167D86"/>
      </x:patternFill>
    </x:fill>
    <x:fill>
      <x:patternFill patternType="solid">
        <x:fgColor rgb="FF173F66"/>
      </x:patternFill>
    </x:fill>
    <x:fill>
      <x:patternFill patternType="solid">
        <x:fgColor rgb="FFF3F8FE"/>
      </x:patternFill>
    </x:fill>
  </x:fills>
  <x:borders count="2">
    <x:border>
      <x:left/>
      <x:right/>
      <x:top/>
      <x:bottom/>
      <x:diagonal/>
    </x:border>
    <x:border>
      <x:left/>
      <x:right/>
      <x:top/>
      <x:bottom/>
      <x:diagonal/>
    </x:border>
  </x:borders>
  <x:cellStyleXfs count="1">
    <x:xf numFmtId="0" fontId="0" fillId="0" borderId="0"/>
  </x:cellStyleXfs>
  <x:cellXfs count="55">
    <x:xf numFmtId="0" fontId="0" fillId="0" borderId="0" xfId="0"/>
    <x:xf numFmtId="0" fontId="0" fillId="3" borderId="0" xfId="0" applyFill="1"/>
    <x:xf numFmtId="0" fontId="4" fillId="2" borderId="0" xfId="0" applyFont="1" applyFill="1" applyAlignment="1">
      <x:alignment vertical="center"/>
    </x:xf>
    <x:xf numFmtId="0" fontId="5" fillId="0" borderId="0" xfId="0" applyFont="1" applyAlignment="1">
      <x:alignment vertical="center"/>
    </x:xf>
    <x:xf numFmtId="0" fontId="4" fillId="4" borderId="0" xfId="0" applyFont="1" applyFill="1" applyAlignment="1">
      <x:alignment vertical="center"/>
    </x:xf>
    <x:xf numFmtId="0" fontId="4" fillId="5" borderId="0" xfId="0" applyFont="1" applyFill="1" applyAlignment="1">
      <x:alignment vertical="center"/>
    </x:xf>
    <x:xf numFmtId="0" fontId="6" fillId="0" borderId="1" xfId="0" applyFont="1" applyBorder="1" applyAlignment="1">
      <x:alignment vertical="center"/>
    </x:xf>
    <x:xf numFmtId="165" fontId="5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 wrapText="1"/>
    </x:xf>
    <x:xf numFmtId="0" fontId="5" fillId="0" borderId="0" xfId="0" applyFont="1" applyAlignment="1">
      <x:alignment vertical="center" wrapText="1"/>
    </x:xf>
    <x:xf numFmtId="0" fontId="3" fillId="0" borderId="0" xfId="0" applyFont="1"/>
    <x:xf numFmtId="0" fontId="2" fillId="3" borderId="0" xfId="0" applyFont="1" applyFill="1"/>
    <x:xf numFmtId="0" fontId="1" fillId="2" borderId="0" xfId="0" applyFont="1" applyFill="1"/>
    <x:xf numFmtId="0" fontId="0" fillId="0" borderId="0" xfId="0" applyAlignment="1">
      <x:alignment vertical="top" wrapText="1"/>
    </x:xf>
    <x:xf numFmtId="0" fontId="4" fillId="2" borderId="0" xfId="0" applyFont="1" applyFill="1" applyAlignment="1">
      <x:alignment horizontal="left" vertical="center"/>
    </x:xf>
    <x:xf numFmtId="0" fontId="0" fillId="0" borderId="0" xfId="0" applyAlignment="1">
      <x:alignment horizontal="left"/>
    </x:xf>
    <x:xf numFmtId="0" fontId="7" fillId="4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7" fillId="5" borderId="0" xfId="0" applyNumberFormat="1" applyFont="1" applyFill="1" applyBorder="1" applyAlignment="1">
      <x:alignment vertical="center"/>
    </x:xf>
    <x:xf numFmtId="165" fontId="8" fillId="0" borderId="0" xfId="0" applyNumberFormat="1" applyFont="1" applyFill="1" applyBorder="1" applyAlignment="1">
      <x:alignment horizontal="left" vertical="center"/>
    </x:xf>
    <x:xf numFmtId="0" fontId="7" fillId="2" borderId="0" xfId="0" applyNumberFormat="1" applyFont="1" applyFill="1" applyBorder="1" applyAlignment="1">
      <x:alignment horizontal="left"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165" fontId="8" fillId="0" borderId="0" xfId="0" applyNumberFormat="1" applyFont="1" applyFill="1" applyBorder="1" applyAlignment="1">
      <x:alignment horizontal="left" vertical="center" wrapText="1"/>
    </x:xf>
    <x:xf numFmtId="0" fontId="7" fillId="6" borderId="0" xfId="0" applyNumberFormat="1" applyFont="1" applyFill="1" applyBorder="1" applyAlignment="1">
      <x:alignment horizontal="left" vertical="center" wrapText="1"/>
    </x:xf>
    <x:xf numFmtId="0" fontId="9" fillId="6" borderId="0" xfId="0" applyNumberFormat="1" applyFont="1" applyFill="1" applyBorder="1" applyAlignment="1">
      <x:alignment horizontal="left" vertical="center" wrapText="1"/>
    </x:xf>
    <x:xf numFmtId="200" fontId="8" fillId="0" borderId="0" xfId="0" applyNumberFormat="1" applyFont="1" applyFill="1" applyBorder="1" applyAlignment="1">
      <x:alignment horizontal="left" vertical="center" wrapText="1"/>
    </x:xf>
    <x:xf numFmtId="200" fontId="8" fillId="0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7" fillId="3" borderId="0" xfId="0" applyNumberFormat="1" applyFont="1" applyFill="1" applyBorder="1"/>
    <x:xf numFmtId="0" fontId="7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/>
    <x:xf numFmtId="0" fontId="7" fillId="7" borderId="0" xfId="0" applyNumberFormat="1" applyFont="1" applyFill="1" applyBorder="1"/>
    <x:xf numFmtId="0" fontId="8" fillId="3" borderId="0" xfId="0" applyNumberFormat="1" applyFont="1" applyFill="1" applyBorder="1"/>
    <x:xf numFmtId="0" fontId="8" fillId="0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11" fillId="7" borderId="0" xfId="0" applyNumberFormat="1" applyFont="1" applyFill="1" applyBorder="1" applyAlignment="1">
      <x:alignment vertical="center"/>
    </x:xf>
    <x:xf numFmtId="0" fontId="11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horizontal="right" vertical="center"/>
    </x:xf>
    <x:xf numFmtId="201" fontId="12" fillId="7" borderId="0" xfId="0" applyNumberFormat="1" applyFont="1" applyFill="1" applyBorder="1" applyAlignment="1">
      <x:alignment horizontal="right" vertical="center"/>
    </x:xf>
    <x:xf numFmtId="0" fontId="9" fillId="6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7"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A3412"/>
      </x:font>
      <x:fill>
        <x:patternFill>
          <x:bgColor rgb="FFFFEDD5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98cf617dad4f47" /><Relationship Type="http://schemas.openxmlformats.org/officeDocument/2006/relationships/theme" Target="/xl/theme/theme1.xml" Id="Rc2a6c04ea231461a" /><Relationship Type="http://schemas.openxmlformats.org/officeDocument/2006/relationships/sharedStrings" Target="/xl/sharedStrings.xml" Id="R7d5b74a48e554e40" /><Relationship Type="http://schemas.openxmlformats.org/officeDocument/2006/relationships/worksheet" Target="/xl/worksheets/sheet1.xml" Id="Rf7dbca44cc5645de" /><Relationship Type="http://schemas.openxmlformats.org/officeDocument/2006/relationships/worksheet" Target="/xl/worksheets/sheet2.xml" Id="R579c8906048f4c9e" /><Relationship Type="http://schemas.openxmlformats.org/officeDocument/2006/relationships/worksheet" Target="/xl/worksheets/sheet3.xml" Id="Rb9850f6b5d384c9a" /><Relationship Type="http://schemas.openxmlformats.org/officeDocument/2006/relationships/worksheet" Target="/xl/worksheets/sheet4.xml" Id="R36bdd969be5f4b40" /><Relationship Type="http://schemas.openxmlformats.org/officeDocument/2006/relationships/worksheet" Target="/xl/worksheets/sheet5.xml" Id="Rac6b84ceb7824047" /><Relationship Type="http://schemas.openxmlformats.org/officeDocument/2006/relationships/worksheet" Target="/xl/worksheets/sheet6.xml" Id="Rb0b3f540a7c04c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4"/>
  <x:cols>
    <x:col min="1" max="1" width="12" customWidth="1"/>
    <x:col min="2" max="2" width="36" customWidth="1"/>
    <x:col min="3" max="3" width="88" customWidth="1"/>
    <x:col min="4" max="8" width="12" customWidth="1"/>
  </x:cols>
  <x:sheetData>
    <x:row r="1" ht="42" customHeight="1">
      <x:c r="A1" s="39" t="s">
        <x:v>0</x:v>
      </x:c>
      <x:c r="B1" s="39"/>
      <x:c r="C1" s="39"/>
      <x:c r="D1" s="39"/>
      <x:c r="E1" s="39"/>
      <x:c r="F1" s="39"/>
      <x:c r="G1" s="39"/>
      <x:c r="H1" s="39"/>
    </x:row>
    <x:row r="2" ht="42" customHeight="1">
      <x:c r="A2" s="39"/>
      <x:c r="B2" s="39"/>
      <x:c r="C2" s="39"/>
      <x:c r="D2" s="39"/>
      <x:c r="E2" s="39"/>
      <x:c r="F2" s="39"/>
      <x:c r="G2" s="39"/>
      <x:c r="H2" s="39"/>
    </x:row>
    <x:row r="3">
      <x:c r="A3" s="35"/>
      <x:c r="B3" s="35"/>
      <x:c r="C3" s="35"/>
      <x:c r="D3" s="35"/>
      <x:c r="E3" s="35"/>
      <x:c r="F3" s="35"/>
      <x:c r="G3" s="35"/>
      <x:c r="H3" s="35"/>
    </x:row>
    <x:row r="4" ht="29" customHeight="1">
      <x:c r="A4" s="41" t="s">
        <x:v>1</x:v>
      </x:c>
      <x:c r="B4" s="41"/>
      <x:c r="C4" s="41"/>
      <x:c r="D4" s="41"/>
      <x:c r="E4" s="41"/>
      <x:c r="F4" s="41"/>
      <x:c r="G4" s="41"/>
      <x:c r="H4" s="41"/>
    </x:row>
    <x:row r="5">
      <x:c r="A5" s="35"/>
      <x:c r="B5" s="35"/>
      <x:c r="C5" s="35"/>
      <x:c r="D5" s="35"/>
      <x:c r="E5" s="35"/>
      <x:c r="F5" s="35"/>
      <x:c r="G5" s="35"/>
      <x:c r="H5" s="35"/>
    </x:row>
    <x:row r="6">
      <x:c r="A6" s="35" t="s">
        <x:v>2</x:v>
      </x:c>
      <x:c r="B6" s="35" t="s">
        <x:v>3</x:v>
      </x:c>
      <x:c r="C6" s="35"/>
      <x:c r="D6" s="35"/>
      <x:c r="E6" s="35"/>
      <x:c r="F6" s="35"/>
      <x:c r="G6" s="35"/>
      <x:c r="H6" s="35"/>
    </x:row>
    <x:row r="7">
      <x:c r="A7" s="35" t="s">
        <x:v>4</x:v>
      </x:c>
      <x:c r="B7" s="35" t="s">
        <x:v>5</x:v>
      </x:c>
      <x:c r="C7" s="35"/>
      <x:c r="D7" s="35"/>
      <x:c r="E7" s="35"/>
      <x:c r="F7" s="35"/>
      <x:c r="G7" s="35"/>
      <x:c r="H7" s="35"/>
    </x:row>
    <x:row r="8">
      <x:c r="A8" s="35" t="s">
        <x:v>6</x:v>
      </x:c>
      <x:c r="B8" s="35" t="s">
        <x:v>7</x:v>
      </x:c>
      <x:c r="C8" s="35"/>
      <x:c r="D8" s="35"/>
      <x:c r="E8" s="35"/>
      <x:c r="F8" s="35"/>
      <x:c r="G8" s="35"/>
      <x:c r="H8" s="35"/>
    </x:row>
    <x:row r="9">
      <x:c r="A9" s="35" t="s">
        <x:v>8</x:v>
      </x:c>
      <x:c r="B9" s="35" t="s">
        <x:v>9</x:v>
      </x:c>
      <x:c r="C9" s="35"/>
      <x:c r="D9" s="35"/>
      <x:c r="E9" s="35"/>
      <x:c r="F9" s="35"/>
      <x:c r="G9" s="35"/>
      <x:c r="H9" s="35"/>
    </x:row>
    <x:row r="10">
      <x:c r="A10" s="35" t="s">
        <x:v>10</x:v>
      </x:c>
      <x:c r="B10" s="35" t="s">
        <x:v>11</x:v>
      </x:c>
      <x:c r="C10" s="35"/>
      <x:c r="D10" s="35"/>
      <x:c r="E10" s="35"/>
      <x:c r="F10" s="35"/>
      <x:c r="G10" s="35"/>
      <x:c r="H10" s="35"/>
    </x:row>
    <x:row r="11">
      <x:c r="A11" s="35" t="s">
        <x:v>12</x:v>
      </x:c>
      <x:c r="B11" s="35" t="s">
        <x:v>13</x:v>
      </x:c>
      <x:c r="C11" s="35"/>
      <x:c r="D11" s="35"/>
      <x:c r="E11" s="35"/>
      <x:c r="F11" s="35"/>
      <x:c r="G11" s="35"/>
      <x:c r="H11" s="35"/>
    </x:row>
    <x:row r="12">
      <x:c r="A12" s="35"/>
      <x:c r="B12" s="35"/>
      <x:c r="C12" s="35"/>
      <x:c r="D12" s="35"/>
      <x:c r="E12" s="35"/>
      <x:c r="F12" s="35"/>
      <x:c r="G12" s="35"/>
      <x:c r="H12" s="35"/>
    </x:row>
    <x:row r="13">
      <x:c r="A13" s="35"/>
      <x:c r="B13" s="35"/>
      <x:c r="C13" s="35"/>
      <x:c r="D13" s="35"/>
      <x:c r="E13" s="35"/>
      <x:c r="F13" s="35"/>
      <x:c r="G13" s="35"/>
      <x:c r="H13" s="35"/>
    </x:row>
    <x:row r="14" ht="29" customHeight="1">
      <x:c r="A14" s="40" t="s">
        <x:v>14</x:v>
      </x:c>
      <x:c r="B14" s="40"/>
      <x:c r="C14" s="40"/>
      <x:c r="D14" s="40"/>
      <x:c r="E14" s="40"/>
      <x:c r="F14" s="40"/>
      <x:c r="G14" s="40"/>
      <x:c r="H14" s="40"/>
    </x:row>
    <x:row r="15">
      <x:c r="A15" s="35"/>
      <x:c r="B15" s="35"/>
      <x:c r="C15" s="35"/>
      <x:c r="D15" s="35"/>
      <x:c r="E15" s="35"/>
      <x:c r="F15" s="35"/>
      <x:c r="G15" s="35"/>
      <x:c r="H15" s="35"/>
    </x:row>
    <x:row r="16">
      <x:c r="A16" s="35" t="s">
        <x:v>15</x:v>
      </x:c>
      <x:c r="B16" s="35" t="s">
        <x:v>16</x:v>
      </x:c>
      <x:c r="C16" s="35" t="s">
        <x:v>17</x:v>
      </x:c>
      <x:c r="D16" s="35"/>
      <x:c r="E16" s="35"/>
      <x:c r="F16" s="35"/>
      <x:c r="G16" s="35"/>
      <x:c r="H16" s="35"/>
    </x:row>
    <x:row r="17">
      <x:c r="A17" s="35" t="s">
        <x:v>18</x:v>
      </x:c>
      <x:c r="B17" s="35" t="s">
        <x:v>19</x:v>
      </x:c>
      <x:c r="C17" s="35" t="s">
        <x:v>20</x:v>
      </x:c>
      <x:c r="D17" s="35"/>
      <x:c r="E17" s="35"/>
      <x:c r="F17" s="35"/>
      <x:c r="G17" s="35"/>
      <x:c r="H17" s="35"/>
    </x:row>
    <x:row r="18">
      <x:c r="A18" s="35" t="s">
        <x:v>21</x:v>
      </x:c>
      <x:c r="B18" s="35" t="s">
        <x:v>22</x:v>
      </x:c>
      <x:c r="C18" s="35" t="s">
        <x:v>23</x:v>
      </x:c>
      <x:c r="D18" s="35"/>
      <x:c r="E18" s="35"/>
      <x:c r="F18" s="35"/>
      <x:c r="G18" s="35"/>
      <x:c r="H18" s="35"/>
    </x:row>
    <x:row r="19">
      <x:c r="A19" s="35" t="s">
        <x:v>24</x:v>
      </x:c>
      <x:c r="B19" s="35" t="s">
        <x:v>25</x:v>
      </x:c>
      <x:c r="C19" s="35" t="s">
        <x:v>26</x:v>
      </x:c>
      <x:c r="D19" s="35"/>
      <x:c r="E19" s="35"/>
      <x:c r="F19" s="35"/>
      <x:c r="G19" s="35"/>
      <x:c r="H19" s="35"/>
    </x:row>
    <x:row r="20">
      <x:c r="A20" s="35" t="s">
        <x:v>27</x:v>
      </x:c>
      <x:c r="B20" s="35" t="s">
        <x:v>28</x:v>
      </x:c>
      <x:c r="C20" s="35" t="s">
        <x:v>29</x:v>
      </x:c>
      <x:c r="D20" s="35"/>
      <x:c r="E20" s="35"/>
      <x:c r="F20" s="35"/>
      <x:c r="G20" s="35"/>
      <x:c r="H20" s="35"/>
    </x:row>
    <x:row r="21">
      <x:c r="A21" s="35"/>
      <x:c r="B21" s="35"/>
      <x:c r="C21" s="35"/>
      <x:c r="D21" s="35"/>
      <x:c r="E21" s="35"/>
      <x:c r="F21" s="35"/>
      <x:c r="G21" s="35"/>
      <x:c r="H21" s="35"/>
    </x:row>
    <x:row r="22">
      <x:c r="A22" s="35"/>
      <x:c r="B22" s="35"/>
      <x:c r="C22" s="35"/>
      <x:c r="D22" s="35"/>
      <x:c r="E22" s="35"/>
      <x:c r="F22" s="35"/>
      <x:c r="G22" s="35"/>
      <x:c r="H22" s="35"/>
    </x:row>
    <x:row r="23" ht="29" customHeight="1">
      <x:c r="A23" s="40" t="s">
        <x:v>30</x:v>
      </x:c>
      <x:c r="B23" s="40"/>
      <x:c r="C23" s="40"/>
      <x:c r="D23" s="40"/>
      <x:c r="E23" s="40"/>
      <x:c r="F23" s="40"/>
      <x:c r="G23" s="40"/>
      <x:c r="H23" s="40"/>
    </x:row>
    <x:row r="24">
      <x:c r="A24" s="35"/>
      <x:c r="B24" s="35"/>
      <x:c r="C24" s="35"/>
      <x:c r="D24" s="35"/>
      <x:c r="E24" s="35"/>
      <x:c r="F24" s="35"/>
      <x:c r="G24" s="35"/>
      <x:c r="H24" s="35"/>
    </x:row>
    <x:row r="25" ht="27" customHeight="1">
      <x:c r="A25" s="35" t="s">
        <x:v>31</x:v>
      </x:c>
      <x:c r="B25" s="35"/>
      <x:c r="C25" s="35"/>
      <x:c r="D25" s="35"/>
      <x:c r="E25" s="35"/>
      <x:c r="F25" s="35"/>
      <x:c r="G25" s="35"/>
      <x:c r="H25" s="35"/>
    </x:row>
    <x:row r="26" ht="27" customHeight="1">
      <x:c r="A26" s="35" t="s">
        <x:v>32</x:v>
      </x:c>
      <x:c r="B26" s="35"/>
      <x:c r="C26" s="35"/>
      <x:c r="D26" s="35"/>
      <x:c r="E26" s="35"/>
      <x:c r="F26" s="35"/>
      <x:c r="G26" s="35"/>
      <x:c r="H26" s="35"/>
    </x:row>
    <x:row r="27" ht="27" customHeight="1">
      <x:c r="A27" s="35" t="s">
        <x:v>33</x:v>
      </x:c>
      <x:c r="B27" s="35"/>
      <x:c r="C27" s="35"/>
      <x:c r="D27" s="35"/>
      <x:c r="E27" s="35"/>
      <x:c r="F27" s="35"/>
      <x:c r="G27" s="35"/>
      <x:c r="H27" s="35"/>
    </x:row>
    <x:row r="28" ht="27" customHeight="1">
      <x:c r="A28" s="35" t="s">
        <x:v>34</x:v>
      </x:c>
      <x:c r="B28" s="35"/>
      <x:c r="C28" s="35"/>
      <x:c r="D28" s="35"/>
      <x:c r="E28" s="35"/>
      <x:c r="F28" s="35"/>
      <x:c r="G28" s="35"/>
      <x:c r="H28" s="35"/>
    </x:row>
    <x:row r="29" ht="27" customHeight="1">
      <x:c r="A29" s="35" t="s">
        <x:v>35</x:v>
      </x:c>
      <x:c r="B29" s="35"/>
      <x:c r="C29" s="35"/>
      <x:c r="D29" s="35"/>
      <x:c r="E29" s="35"/>
      <x:c r="F29" s="35"/>
      <x:c r="G29" s="35"/>
      <x:c r="H29" s="35"/>
    </x:row>
    <x:row r="30" ht="27" customHeight="1">
      <x:c r="A30" s="35" t="s">
        <x:v>36</x:v>
      </x:c>
      <x:c r="B30" s="35"/>
      <x:c r="C30" s="35"/>
      <x:c r="D30" s="35"/>
      <x:c r="E30" s="35"/>
      <x:c r="F30" s="35"/>
      <x:c r="G30" s="35"/>
      <x:c r="H30" s="35"/>
    </x:row>
    <x:row r="31" ht="27" customHeight="1">
      <x:c r="A31" s="35" t="s">
        <x:v>37</x:v>
      </x:c>
      <x:c r="B31" s="35"/>
      <x:c r="C31" s="35"/>
      <x:c r="D31" s="35"/>
      <x:c r="E31" s="35"/>
      <x:c r="F31" s="35"/>
      <x:c r="G31" s="35"/>
      <x:c r="H31" s="35"/>
    </x:row>
    <x:row r="32" ht="27" customHeight="1">
      <x:c r="A32" s="35" t="s">
        <x:v>38</x:v>
      </x:c>
      <x:c r="B32" s="35"/>
      <x:c r="C32" s="35"/>
      <x:c r="D32" s="35"/>
      <x:c r="E32" s="35"/>
      <x:c r="F32" s="35"/>
      <x:c r="G32" s="35"/>
      <x:c r="H32" s="35"/>
    </x:row>
    <x:row r="33">
      <x:c r="A33" s="35"/>
      <x:c r="B33" s="35"/>
      <x:c r="C33" s="35"/>
      <x:c r="D33" s="35"/>
      <x:c r="E33" s="35"/>
      <x:c r="F33" s="35"/>
      <x:c r="G33" s="35"/>
      <x:c r="H33" s="35"/>
    </x:row>
    <x:row r="34">
      <x:c r="A34" s="35"/>
      <x:c r="B34" s="35"/>
      <x:c r="C34" s="35"/>
      <x:c r="D34" s="35"/>
      <x:c r="E34" s="35"/>
      <x:c r="F34" s="35"/>
      <x:c r="G34" s="35"/>
      <x:c r="H34" s="35"/>
    </x:row>
    <x:row r="35" ht="29" customHeight="1">
      <x:c r="A35" s="36" t="s">
        <x:v>39</x:v>
      </x:c>
      <x:c r="B35" s="36"/>
      <x:c r="C35" s="36"/>
      <x:c r="D35" s="36"/>
      <x:c r="E35" s="36"/>
      <x:c r="F35" s="36"/>
      <x:c r="G35" s="36"/>
      <x:c r="H35" s="36"/>
    </x:row>
  </x:sheetData>
  <x:mergeCells>
    <x:mergeCell ref="A1:H2"/>
    <x:mergeCell ref="A4:H4"/>
    <x:mergeCell ref="A14:H14"/>
    <x:mergeCell ref="A23:H23"/>
    <x:mergeCell ref="A25:H25"/>
    <x:mergeCell ref="A31:H31"/>
    <x:mergeCell ref="A32:H32"/>
    <x:mergeCell ref="A35:H35"/>
    <x:mergeCell ref="A26:H26"/>
    <x:mergeCell ref="A27:H27"/>
    <x:mergeCell ref="A28:H28"/>
    <x:mergeCell ref="A29:H29"/>
    <x:mergeCell ref="A30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10.4399995803833" hidden="0" customWidth="1"/>
    <x:col min="2" max="3" width="17" customWidth="1"/>
    <x:col min="4" max="4" width="21.110000610351562" hidden="0" customWidth="1"/>
    <x:col min="5" max="5" width="20" hidden="0" customWidth="1"/>
    <x:col min="6" max="6" width="28.329999923706055" hidden="0" customWidth="1"/>
    <x:col min="7" max="7" width="15.5600004196167" hidden="0" customWidth="1"/>
    <x:col min="8" max="9" width="19" customWidth="1"/>
    <x:col min="10" max="11" width="18" customWidth="1"/>
    <x:col min="12" max="12" width="11.109999656677246" hidden="0" customWidth="1"/>
    <x:col min="13" max="13" width="47.779998779296875" hidden="0" customWidth="1"/>
    <x:col min="2" max="2" width="11.670000076293945" hidden="0" customWidth="1"/>
    <x:col min="3" max="3" width="13.329999923706055" hidden="0" customWidth="1"/>
    <x:col min="8" max="8" width="13.890000343322754" hidden="0" customWidth="1"/>
    <x:col min="9" max="9" width="15.5600004196167" hidden="0" customWidth="1"/>
    <x:col min="10" max="10" width="12.779999732971191" hidden="0" customWidth="1"/>
    <x:col min="11" max="11" width="12.779999732971191" hidden="0" customWidth="1"/>
  </x:cols>
  <x:sheetData>
    <x:row r="1" ht="34" customHeight="1">
      <x:c r="A1" s="23" t="s">
        <x:v>40</x:v>
      </x:c>
      <x:c r="B1" s="23" t="s">
        <x:v>41</x:v>
      </x:c>
      <x:c r="C1" s="23" t="s">
        <x:v>42</x:v>
      </x:c>
      <x:c r="D1" s="23" t="s">
        <x:v>43</x:v>
      </x:c>
      <x:c r="E1" s="23" t="s">
        <x:v>44</x:v>
      </x:c>
      <x:c r="F1" s="23" t="s">
        <x:v>45</x:v>
      </x:c>
      <x:c r="G1" s="23" t="s">
        <x:v>46</x:v>
      </x:c>
      <x:c r="H1" s="23" t="s">
        <x:v>47</x:v>
      </x:c>
      <x:c r="I1" s="23" t="s">
        <x:v>48</x:v>
      </x:c>
      <x:c r="J1" s="23" t="s">
        <x:v>49</x:v>
      </x:c>
      <x:c r="K1" s="23" t="s">
        <x:v>50</x:v>
      </x:c>
      <x:c r="L1" s="23" t="s">
        <x:v>51</x:v>
      </x:c>
      <x:c r="M1" s="23" t="s">
        <x:v>52</x:v>
      </x:c>
    </x:row>
    <x:row r="2" ht="42" customHeight="1">
      <x:c r="A2" s="21" t="s">
        <x:v>53</x:v>
      </x:c>
      <x:c r="B2" s="21" t="s">
        <x:v>54</x:v>
      </x:c>
      <x:c r="C2" s="21" t="s">
        <x:v>55</x:v>
      </x:c>
      <x:c r="D2" s="21" t="s">
        <x:v>56</x:v>
      </x:c>
      <x:c r="E2" s="21" t="s">
        <x:v>57</x:v>
      </x:c>
      <x:c r="F2" s="21" t="s">
        <x:v>58</x:v>
      </x:c>
      <x:c r="G2" s="21" t="s">
        <x:v>59</x:v>
      </x:c>
      <x:c r="H2" s="21" t="s">
        <x:v>60</x:v>
      </x:c>
      <x:c r="I2" s="21" t="s">
        <x:v>61</x:v>
      </x:c>
      <x:c r="J2" s="21" t="s">
        <x:v>62</x:v>
      </x:c>
      <x:c r="K2" s="21" t="s">
        <x:v>63</x:v>
      </x:c>
      <x:c r="L2" s="21" t="s">
        <x:v>64</x:v>
      </x:c>
      <x:c r="M2" s="21" t="s">
        <x:v>65</x:v>
      </x:c>
    </x:row>
    <x:row r="3" ht="42" customHeight="1">
      <x:c r="A3" s="21" t="s">
        <x:v>66</x:v>
      </x:c>
      <x:c r="B3" s="21" t="s">
        <x:v>67</x:v>
      </x:c>
      <x:c r="C3" s="21" t="s">
        <x:v>68</x:v>
      </x:c>
      <x:c r="D3" s="21" t="s">
        <x:v>69</x:v>
      </x:c>
      <x:c r="E3" s="21" t="s">
        <x:v>70</x:v>
      </x:c>
      <x:c r="F3" s="21" t="s">
        <x:v>71</x:v>
      </x:c>
      <x:c r="G3" s="21" t="s">
        <x:v>72</x:v>
      </x:c>
      <x:c r="H3" s="21" t="s">
        <x:v>73</x:v>
      </x:c>
      <x:c r="I3" s="21" t="s">
        <x:v>74</x:v>
      </x:c>
      <x:c r="J3" s="21" t="s">
        <x:v>75</x:v>
      </x:c>
      <x:c r="K3" s="21" t="s">
        <x:v>76</x:v>
      </x:c>
      <x:c r="L3" s="21" t="s">
        <x:v>77</x:v>
      </x:c>
      <x:c r="M3" s="21" t="s">
        <x:v>78</x:v>
      </x:c>
    </x:row>
    <x:row r="4" ht="42" customHeight="1">
      <x:c r="A4" s="21" t="s">
        <x:v>79</x:v>
      </x:c>
      <x:c r="B4" s="21" t="s">
        <x:v>80</x:v>
      </x:c>
      <x:c r="C4" s="21" t="s">
        <x:v>81</x:v>
      </x:c>
      <x:c r="D4" s="21" t="s">
        <x:v>82</x:v>
      </x:c>
      <x:c r="E4" s="21" t="s">
        <x:v>83</x:v>
      </x:c>
      <x:c r="F4" s="21" t="s">
        <x:v>84</x:v>
      </x:c>
      <x:c r="G4" s="21" t="s">
        <x:v>85</x:v>
      </x:c>
      <x:c r="H4" s="21" t="s">
        <x:v>86</x:v>
      </x:c>
      <x:c r="I4" s="21" t="s">
        <x:v>87</x:v>
      </x:c>
      <x:c r="J4" s="21"/>
      <x:c r="K4" s="21" t="s">
        <x:v>88</x:v>
      </x:c>
      <x:c r="L4" s="21" t="s">
        <x:v>64</x:v>
      </x:c>
      <x:c r="M4" s="21" t="s">
        <x:v>89</x:v>
      </x:c>
    </x:row>
    <x:row r="5" ht="42" customHeight="1">
      <x:c r="A5" s="21" t="s">
        <x:v>90</x:v>
      </x:c>
      <x:c r="B5" s="21" t="s">
        <x:v>91</x:v>
      </x:c>
      <x:c r="C5" s="21" t="s">
        <x:v>92</x:v>
      </x:c>
      <x:c r="D5" s="21" t="s">
        <x:v>93</x:v>
      </x:c>
      <x:c r="E5" s="21" t="s">
        <x:v>94</x:v>
      </x:c>
      <x:c r="F5" s="21" t="s">
        <x:v>95</x:v>
      </x:c>
      <x:c r="G5" s="21" t="s">
        <x:v>96</x:v>
      </x:c>
      <x:c r="H5" s="21" t="s">
        <x:v>97</x:v>
      </x:c>
      <x:c r="I5" s="21" t="s">
        <x:v>98</x:v>
      </x:c>
      <x:c r="J5" s="21" t="s">
        <x:v>99</x:v>
      </x:c>
      <x:c r="K5" s="21" t="s">
        <x:v>100</x:v>
      </x:c>
      <x:c r="L5" s="21" t="s">
        <x:v>77</x:v>
      </x:c>
      <x:c r="M5" s="21" t="s">
        <x:v>101</x:v>
      </x:c>
    </x:row>
    <x:row r="6" ht="42" customHeight="1">
      <x:c r="A6" s="21" t="s">
        <x:v>102</x:v>
      </x:c>
      <x:c r="B6" s="21" t="s">
        <x:v>103</x:v>
      </x:c>
      <x:c r="C6" s="21" t="s">
        <x:v>104</x:v>
      </x:c>
      <x:c r="D6" s="21" t="s">
        <x:v>105</x:v>
      </x:c>
      <x:c r="E6" s="21" t="s">
        <x:v>106</x:v>
      </x:c>
      <x:c r="F6" s="21" t="s">
        <x:v>107</x:v>
      </x:c>
      <x:c r="G6" s="21" t="s">
        <x:v>108</x:v>
      </x:c>
      <x:c r="H6" s="21" t="s">
        <x:v>60</x:v>
      </x:c>
      <x:c r="I6" s="21" t="s">
        <x:v>109</x:v>
      </x:c>
      <x:c r="J6" s="21" t="s">
        <x:v>110</x:v>
      </x:c>
      <x:c r="K6" s="21" t="s">
        <x:v>111</x:v>
      </x:c>
      <x:c r="L6" s="21" t="s">
        <x:v>64</x:v>
      </x:c>
      <x:c r="M6" s="21" t="s">
        <x:v>112</x:v>
      </x:c>
    </x:row>
    <x:row r="7" ht="42" customHeight="1">
      <x:c r="A7" s="21" t="s">
        <x:v>113</x:v>
      </x:c>
      <x:c r="B7" s="21" t="s">
        <x:v>114</x:v>
      </x:c>
      <x:c r="C7" s="21" t="s">
        <x:v>115</x:v>
      </x:c>
      <x:c r="D7" s="21" t="s">
        <x:v>116</x:v>
      </x:c>
      <x:c r="E7" s="21" t="s">
        <x:v>117</x:v>
      </x:c>
      <x:c r="F7" s="21" t="s">
        <x:v>118</x:v>
      </x:c>
      <x:c r="G7" s="21" t="s">
        <x:v>119</x:v>
      </x:c>
      <x:c r="H7" s="21" t="s">
        <x:v>73</x:v>
      </x:c>
      <x:c r="I7" s="21" t="s">
        <x:v>61</x:v>
      </x:c>
      <x:c r="J7" s="21" t="s">
        <x:v>120</x:v>
      </x:c>
      <x:c r="K7" s="21" t="s">
        <x:v>121</x:v>
      </x:c>
      <x:c r="L7" s="21" t="s">
        <x:v>77</x:v>
      </x:c>
      <x:c r="M7" s="21" t="s">
        <x:v>122</x:v>
      </x:c>
    </x:row>
    <x:row r="8" ht="42" customHeight="1">
      <x:c r="A8" s="21" t="s">
        <x:v>123</x:v>
      </x:c>
      <x:c r="B8" s="21" t="s">
        <x:v>124</x:v>
      </x:c>
      <x:c r="C8" s="21" t="s">
        <x:v>125</x:v>
      </x:c>
      <x:c r="D8" s="21" t="s">
        <x:v>126</x:v>
      </x:c>
      <x:c r="E8" s="21" t="s">
        <x:v>127</x:v>
      </x:c>
      <x:c r="F8" s="21" t="s">
        <x:v>128</x:v>
      </x:c>
      <x:c r="G8" s="21" t="s">
        <x:v>129</x:v>
      </x:c>
      <x:c r="H8" s="21" t="s">
        <x:v>86</x:v>
      </x:c>
      <x:c r="I8" s="21" t="s">
        <x:v>87</x:v>
      </x:c>
      <x:c r="J8" s="21"/>
      <x:c r="K8" s="21" t="s">
        <x:v>130</x:v>
      </x:c>
      <x:c r="L8" s="21" t="s">
        <x:v>64</x:v>
      </x:c>
      <x:c r="M8" s="21" t="s">
        <x:v>131</x:v>
      </x:c>
    </x:row>
    <x:row r="9" ht="42" customHeight="1">
      <x:c r="A9" s="21" t="s">
        <x:v>132</x:v>
      </x:c>
      <x:c r="B9" s="21" t="s">
        <x:v>133</x:v>
      </x:c>
      <x:c r="C9" s="21" t="s">
        <x:v>134</x:v>
      </x:c>
      <x:c r="D9" s="21" t="s">
        <x:v>135</x:v>
      </x:c>
      <x:c r="E9" s="21" t="s">
        <x:v>136</x:v>
      </x:c>
      <x:c r="F9" s="21" t="s">
        <x:v>137</x:v>
      </x:c>
      <x:c r="G9" s="21" t="s">
        <x:v>138</x:v>
      </x:c>
      <x:c r="H9" s="21" t="s">
        <x:v>60</x:v>
      </x:c>
      <x:c r="I9" s="21" t="s">
        <x:v>74</x:v>
      </x:c>
      <x:c r="J9" s="21" t="s">
        <x:v>139</x:v>
      </x:c>
      <x:c r="K9" s="21" t="s">
        <x:v>63</x:v>
      </x:c>
      <x:c r="L9" s="21" t="s">
        <x:v>77</x:v>
      </x:c>
      <x:c r="M9" s="21" t="s">
        <x:v>140</x:v>
      </x:c>
    </x:row>
    <x:row r="10" ht="42" customHeight="1">
      <x:c r="A10" s="21" t="s">
        <x:v>141</x:v>
      </x:c>
      <x:c r="B10" s="21" t="s">
        <x:v>142</x:v>
      </x:c>
      <x:c r="C10" s="21" t="s">
        <x:v>143</x:v>
      </x:c>
      <x:c r="D10" s="21" t="s">
        <x:v>144</x:v>
      </x:c>
      <x:c r="E10" s="21" t="s">
        <x:v>145</x:v>
      </x:c>
      <x:c r="F10" s="21"/>
      <x:c r="G10" s="21" t="s">
        <x:v>146</x:v>
      </x:c>
      <x:c r="H10" s="21" t="s">
        <x:v>73</x:v>
      </x:c>
      <x:c r="I10" s="21" t="s">
        <x:v>87</x:v>
      </x:c>
      <x:c r="J10" s="21"/>
      <x:c r="K10" s="21" t="s">
        <x:v>147</x:v>
      </x:c>
      <x:c r="L10" s="21" t="s">
        <x:v>64</x:v>
      </x:c>
      <x:c r="M10" s="21" t="s">
        <x:v>148</x:v>
      </x:c>
    </x:row>
    <x:row r="11" ht="42" customHeight="1">
      <x:c r="A11" s="21" t="s">
        <x:v>149</x:v>
      </x:c>
      <x:c r="B11" s="21" t="s">
        <x:v>150</x:v>
      </x:c>
      <x:c r="C11" s="21" t="s">
        <x:v>151</x:v>
      </x:c>
      <x:c r="D11" s="21" t="s">
        <x:v>152</x:v>
      </x:c>
      <x:c r="E11" s="21" t="s">
        <x:v>153</x:v>
      </x:c>
      <x:c r="F11" s="21" t="s">
        <x:v>154</x:v>
      </x:c>
      <x:c r="G11" s="21" t="s">
        <x:v>155</x:v>
      </x:c>
      <x:c r="H11" s="21" t="s">
        <x:v>156</x:v>
      </x:c>
      <x:c r="I11" s="21" t="s">
        <x:v>61</x:v>
      </x:c>
      <x:c r="J11" s="21" t="s">
        <x:v>157</x:v>
      </x:c>
      <x:c r="K11" s="21" t="s">
        <x:v>76</x:v>
      </x:c>
      <x:c r="L11" s="21" t="s">
        <x:v>77</x:v>
      </x:c>
      <x:c r="M11" s="21" t="s">
        <x:v>158</x:v>
      </x:c>
    </x:row>
    <x:row r="12" ht="42" customHeight="1">
      <x:c r="A12" s="21" t="s">
        <x:v>159</x:v>
      </x:c>
      <x:c r="B12" s="21" t="s">
        <x:v>160</x:v>
      </x:c>
      <x:c r="C12" s="21" t="s">
        <x:v>161</x:v>
      </x:c>
      <x:c r="D12" s="21" t="s">
        <x:v>162</x:v>
      </x:c>
      <x:c r="E12" s="21" t="s">
        <x:v>163</x:v>
      </x:c>
      <x:c r="F12" s="21" t="s">
        <x:v>164</x:v>
      </x:c>
      <x:c r="G12" s="21" t="s">
        <x:v>165</x:v>
      </x:c>
      <x:c r="H12" s="21" t="s">
        <x:v>60</x:v>
      </x:c>
      <x:c r="I12" s="21" t="s">
        <x:v>166</x:v>
      </x:c>
      <x:c r="J12" s="21" t="s">
        <x:v>167</x:v>
      </x:c>
      <x:c r="K12" s="21" t="s">
        <x:v>100</x:v>
      </x:c>
      <x:c r="L12" s="21" t="s">
        <x:v>64</x:v>
      </x:c>
      <x:c r="M12" s="21" t="s">
        <x:v>168</x:v>
      </x:c>
    </x:row>
    <x:row r="13" ht="42" customHeight="1">
      <x:c r="A13" s="21" t="s">
        <x:v>169</x:v>
      </x:c>
      <x:c r="B13" s="21" t="s">
        <x:v>170</x:v>
      </x:c>
      <x:c r="C13" s="21" t="s">
        <x:v>171</x:v>
      </x:c>
      <x:c r="D13" s="21" t="s">
        <x:v>172</x:v>
      </x:c>
      <x:c r="E13" s="21" t="s">
        <x:v>173</x:v>
      </x:c>
      <x:c r="F13" s="21" t="s">
        <x:v>174</x:v>
      </x:c>
      <x:c r="G13" s="21" t="s">
        <x:v>175</x:v>
      </x:c>
      <x:c r="H13" s="21" t="s">
        <x:v>86</x:v>
      </x:c>
      <x:c r="I13" s="21" t="s">
        <x:v>87</x:v>
      </x:c>
      <x:c r="J13" s="21"/>
      <x:c r="K13" s="21" t="s">
        <x:v>176</x:v>
      </x:c>
      <x:c r="L13" s="21" t="s">
        <x:v>77</x:v>
      </x:c>
      <x:c r="M13" s="21" t="s">
        <x:v>177</x:v>
      </x:c>
    </x:row>
    <x:row r="14" ht="42" customHeight="1">
      <x:c r="A14" s="21" t="s">
        <x:v>178</x:v>
      </x:c>
      <x:c r="B14" s="21" t="s">
        <x:v>54</x:v>
      </x:c>
      <x:c r="C14" s="21" t="s">
        <x:v>179</x:v>
      </x:c>
      <x:c r="D14" s="21" t="s">
        <x:v>180</x:v>
      </x:c>
      <x:c r="E14" s="21" t="s">
        <x:v>181</x:v>
      </x:c>
      <x:c r="F14" s="21" t="s">
        <x:v>182</x:v>
      </x:c>
      <x:c r="G14" s="21" t="s">
        <x:v>183</x:v>
      </x:c>
      <x:c r="H14" s="21" t="s">
        <x:v>184</x:v>
      </x:c>
      <x:c r="I14" s="21" t="s">
        <x:v>185</x:v>
      </x:c>
      <x:c r="J14" s="21" t="s">
        <x:v>139</x:v>
      </x:c>
      <x:c r="K14" s="21" t="s">
        <x:v>63</x:v>
      </x:c>
      <x:c r="L14" s="21" t="s">
        <x:v>186</x:v>
      </x:c>
      <x:c r="M14" s="21" t="s">
        <x:v>187</x:v>
      </x:c>
    </x:row>
    <x:row r="15" ht="42" customHeight="1">
      <x:c r="A15" s="21" t="s">
        <x:v>188</x:v>
      </x:c>
      <x:c r="B15" s="21" t="s">
        <x:v>189</x:v>
      </x:c>
      <x:c r="C15" s="21" t="s">
        <x:v>190</x:v>
      </x:c>
      <x:c r="D15" s="21" t="s">
        <x:v>191</x:v>
      </x:c>
      <x:c r="E15" s="21" t="s">
        <x:v>94</x:v>
      </x:c>
      <x:c r="F15" s="21" t="s">
        <x:v>192</x:v>
      </x:c>
      <x:c r="G15" s="21" t="s">
        <x:v>193</x:v>
      </x:c>
      <x:c r="H15" s="21" t="s">
        <x:v>73</x:v>
      </x:c>
      <x:c r="I15" s="21" t="s">
        <x:v>61</x:v>
      </x:c>
      <x:c r="J15" s="21" t="s">
        <x:v>194</x:v>
      </x:c>
      <x:c r="K15" s="21"/>
      <x:c r="L15" s="21" t="s">
        <x:v>77</x:v>
      </x:c>
      <x:c r="M15" s="21" t="s">
        <x:v>195</x:v>
      </x:c>
    </x:row>
    <x:row r="16" ht="42" customHeight="1">
      <x:c r="A16" s="21" t="s">
        <x:v>196</x:v>
      </x:c>
      <x:c r="B16" s="21" t="s">
        <x:v>197</x:v>
      </x:c>
      <x:c r="C16" s="21" t="s">
        <x:v>198</x:v>
      </x:c>
      <x:c r="D16" s="21" t="s">
        <x:v>199</x:v>
      </x:c>
      <x:c r="E16" s="21" t="s">
        <x:v>200</x:v>
      </x:c>
      <x:c r="F16" s="21" t="s">
        <x:v>201</x:v>
      </x:c>
      <x:c r="G16" s="21" t="s">
        <x:v>202</x:v>
      </x:c>
      <x:c r="H16" s="21" t="s">
        <x:v>60</x:v>
      </x:c>
      <x:c r="I16" s="21" t="s">
        <x:v>87</x:v>
      </x:c>
      <x:c r="J16" s="21"/>
      <x:c r="K16" s="21" t="s">
        <x:v>203</x:v>
      </x:c>
      <x:c r="L16" s="21" t="s">
        <x:v>64</x:v>
      </x:c>
      <x:c r="M16" s="21" t="s">
        <x:v>204</x:v>
      </x:c>
    </x:row>
    <x:row r="17" ht="42" customHeight="1">
      <x:c r="A17" s="21" t="s">
        <x:v>205</x:v>
      </x:c>
      <x:c r="B17" s="21" t="s">
        <x:v>206</x:v>
      </x:c>
      <x:c r="C17" s="21" t="s">
        <x:v>207</x:v>
      </x:c>
      <x:c r="D17" s="21" t="s">
        <x:v>208</x:v>
      </x:c>
      <x:c r="E17" s="21" t="s">
        <x:v>209</x:v>
      </x:c>
      <x:c r="F17" s="21" t="s">
        <x:v>210</x:v>
      </x:c>
      <x:c r="G17" s="21" t="s">
        <x:v>211</x:v>
      </x:c>
      <x:c r="H17" s="21" t="s">
        <x:v>86</x:v>
      </x:c>
      <x:c r="I17" s="21" t="s">
        <x:v>212</x:v>
      </x:c>
      <x:c r="J17" s="21" t="s">
        <x:v>213</x:v>
      </x:c>
      <x:c r="K17" s="21" t="s">
        <x:v>63</x:v>
      </x:c>
      <x:c r="L17" s="21" t="s">
        <x:v>77</x:v>
      </x:c>
      <x:c r="M17" s="21" t="s">
        <x:v>214</x:v>
      </x:c>
    </x:row>
    <x:row r="18" ht="42" customHeight="1">
      <x:c r="A18" s="21" t="s">
        <x:v>215</x:v>
      </x:c>
      <x:c r="B18" s="21" t="s">
        <x:v>216</x:v>
      </x:c>
      <x:c r="C18" s="21" t="s">
        <x:v>217</x:v>
      </x:c>
      <x:c r="D18" s="21" t="s">
        <x:v>218</x:v>
      </x:c>
      <x:c r="E18" s="21" t="s">
        <x:v>219</x:v>
      </x:c>
      <x:c r="F18" s="21" t="s">
        <x:v>220</x:v>
      </x:c>
      <x:c r="G18" s="21" t="s">
        <x:v>221</x:v>
      </x:c>
      <x:c r="H18" s="21" t="s">
        <x:v>73</x:v>
      </x:c>
      <x:c r="I18" s="21" t="s">
        <x:v>222</x:v>
      </x:c>
      <x:c r="J18" s="21" t="s">
        <x:v>223</x:v>
      </x:c>
      <x:c r="K18" s="21"/>
      <x:c r="L18" s="21" t="s">
        <x:v>64</x:v>
      </x:c>
      <x:c r="M18" s="21" t="s">
        <x:v>224</x:v>
      </x:c>
    </x:row>
    <x:row r="19" ht="42" customHeight="1">
      <x:c r="A19" s="21" t="s">
        <x:v>225</x:v>
      </x:c>
      <x:c r="B19" s="21" t="s">
        <x:v>226</x:v>
      </x:c>
      <x:c r="C19" s="21" t="s">
        <x:v>227</x:v>
      </x:c>
      <x:c r="D19" s="21" t="s">
        <x:v>228</x:v>
      </x:c>
      <x:c r="E19" s="21" t="s">
        <x:v>229</x:v>
      </x:c>
      <x:c r="F19" s="21" t="s">
        <x:v>230</x:v>
      </x:c>
      <x:c r="G19" s="21" t="s">
        <x:v>231</x:v>
      </x:c>
      <x:c r="H19" s="21" t="s">
        <x:v>60</x:v>
      </x:c>
      <x:c r="I19" s="21" t="s">
        <x:v>74</x:v>
      </x:c>
      <x:c r="J19" s="21" t="s">
        <x:v>232</x:v>
      </x:c>
      <x:c r="K19" s="21" t="s">
        <x:v>88</x:v>
      </x:c>
      <x:c r="L19" s="21" t="s">
        <x:v>77</x:v>
      </x:c>
      <x:c r="M19" s="21" t="s">
        <x:v>233</x:v>
      </x:c>
    </x:row>
    <x:row r="20" ht="42" customHeight="1">
      <x:c r="A20" s="21" t="s">
        <x:v>234</x:v>
      </x:c>
      <x:c r="B20" s="21" t="s">
        <x:v>235</x:v>
      </x:c>
      <x:c r="C20" s="21" t="s">
        <x:v>236</x:v>
      </x:c>
      <x:c r="D20" s="21" t="s">
        <x:v>237</x:v>
      </x:c>
      <x:c r="E20" s="21" t="s">
        <x:v>238</x:v>
      </x:c>
      <x:c r="F20" s="21" t="s">
        <x:v>239</x:v>
      </x:c>
      <x:c r="G20" s="21" t="s">
        <x:v>240</x:v>
      </x:c>
      <x:c r="H20" s="21" t="s">
        <x:v>97</x:v>
      </x:c>
      <x:c r="I20" s="21" t="s">
        <x:v>61</x:v>
      </x:c>
      <x:c r="J20" s="21" t="s">
        <x:v>241</x:v>
      </x:c>
      <x:c r="K20" s="21" t="s">
        <x:v>121</x:v>
      </x:c>
      <x:c r="L20" s="21" t="s">
        <x:v>64</x:v>
      </x:c>
      <x:c r="M20" s="21" t="s">
        <x:v>242</x:v>
      </x:c>
    </x:row>
    <x:row r="21" ht="42" customHeight="1">
      <x:c r="A21" s="21" t="s">
        <x:v>243</x:v>
      </x:c>
      <x:c r="B21" s="21" t="s">
        <x:v>244</x:v>
      </x:c>
      <x:c r="C21" s="21" t="s">
        <x:v>245</x:v>
      </x:c>
      <x:c r="D21" s="21" t="s">
        <x:v>69</x:v>
      </x:c>
      <x:c r="E21" s="21" t="s">
        <x:v>70</x:v>
      </x:c>
      <x:c r="F21" s="21" t="s">
        <x:v>71</x:v>
      </x:c>
      <x:c r="G21" s="21" t="s">
        <x:v>246</x:v>
      </x:c>
      <x:c r="H21" s="21" t="s">
        <x:v>73</x:v>
      </x:c>
      <x:c r="I21" s="21" t="s">
        <x:v>74</x:v>
      </x:c>
      <x:c r="J21" s="21" t="s">
        <x:v>232</x:v>
      </x:c>
      <x:c r="K21" s="21" t="s">
        <x:v>76</x:v>
      </x:c>
      <x:c r="L21" s="21" t="s">
        <x:v>77</x:v>
      </x:c>
      <x:c r="M21" s="21" t="s">
        <x:v>247</x:v>
      </x:c>
    </x:row>
    <x:row r="22" ht="42" customHeight="1">
      <x:c r="A22" s="21" t="s">
        <x:v>248</x:v>
      </x:c>
      <x:c r="B22" s="21" t="s">
        <x:v>249</x:v>
      </x:c>
      <x:c r="C22" s="21" t="s">
        <x:v>250</x:v>
      </x:c>
      <x:c r="D22" s="21" t="s">
        <x:v>251</x:v>
      </x:c>
      <x:c r="E22" s="21" t="s">
        <x:v>252</x:v>
      </x:c>
      <x:c r="F22" s="21" t="s">
        <x:v>253</x:v>
      </x:c>
      <x:c r="G22" s="21" t="s">
        <x:v>254</x:v>
      </x:c>
      <x:c r="H22" s="21" t="s">
        <x:v>255</x:v>
      </x:c>
      <x:c r="I22" s="21" t="s">
        <x:v>256</x:v>
      </x:c>
      <x:c r="J22" s="21"/>
      <x:c r="K22" s="21" t="s">
        <x:v>257</x:v>
      </x:c>
      <x:c r="L22" s="21" t="s">
        <x:v>186</x:v>
      </x:c>
      <x:c r="M22" s="21" t="s">
        <x:v>258</x:v>
      </x:c>
    </x:row>
    <x:row r="23" ht="42" customHeight="1">
      <x:c r="A23" s="21" t="s">
        <x:v>259</x:v>
      </x:c>
      <x:c r="B23" s="21" t="s">
        <x:v>260</x:v>
      </x:c>
      <x:c r="C23" s="21" t="s">
        <x:v>261</x:v>
      </x:c>
      <x:c r="D23" s="21" t="s">
        <x:v>262</x:v>
      </x:c>
      <x:c r="E23" s="21" t="s">
        <x:v>263</x:v>
      </x:c>
      <x:c r="F23" s="21" t="s">
        <x:v>264</x:v>
      </x:c>
      <x:c r="G23" s="21" t="s">
        <x:v>265</x:v>
      </x:c>
      <x:c r="H23" s="21" t="s">
        <x:v>86</x:v>
      </x:c>
      <x:c r="I23" s="21" t="s">
        <x:v>266</x:v>
      </x:c>
      <x:c r="J23" s="21" t="s">
        <x:v>267</x:v>
      </x:c>
      <x:c r="K23" s="21" t="s">
        <x:v>120</x:v>
      </x:c>
      <x:c r="L23" s="21" t="s">
        <x:v>77</x:v>
      </x:c>
      <x:c r="M23" s="21" t="s">
        <x:v>268</x:v>
      </x:c>
    </x:row>
    <x:row r="24" ht="42" customHeight="1">
      <x:c r="A24" s="21" t="s">
        <x:v>269</x:v>
      </x:c>
      <x:c r="B24" s="21" t="s">
        <x:v>270</x:v>
      </x:c>
      <x:c r="C24" s="21" t="s">
        <x:v>271</x:v>
      </x:c>
      <x:c r="D24" s="21" t="s">
        <x:v>272</x:v>
      </x:c>
      <x:c r="E24" s="21" t="s">
        <x:v>83</x:v>
      </x:c>
      <x:c r="F24" s="21" t="s">
        <x:v>273</x:v>
      </x:c>
      <x:c r="G24" s="21" t="s">
        <x:v>274</x:v>
      </x:c>
      <x:c r="H24" s="21" t="s">
        <x:v>275</x:v>
      </x:c>
      <x:c r="I24" s="21" t="s">
        <x:v>61</x:v>
      </x:c>
      <x:c r="J24" s="21" t="s">
        <x:v>276</x:v>
      </x:c>
      <x:c r="K24" s="21" t="s">
        <x:v>241</x:v>
      </x:c>
      <x:c r="L24" s="21" t="s">
        <x:v>64</x:v>
      </x:c>
      <x:c r="M24" s="21" t="s">
        <x:v>277</x:v>
      </x:c>
    </x:row>
    <x:row r="25" ht="42" customHeight="1">
      <x:c r="A25" s="21" t="s">
        <x:v>278</x:v>
      </x:c>
      <x:c r="B25" s="21" t="s">
        <x:v>279</x:v>
      </x:c>
      <x:c r="C25" s="21" t="s">
        <x:v>280</x:v>
      </x:c>
      <x:c r="D25" s="21" t="s">
        <x:v>281</x:v>
      </x:c>
      <x:c r="E25" s="21" t="s">
        <x:v>117</x:v>
      </x:c>
      <x:c r="F25" s="21" t="s">
        <x:v>282</x:v>
      </x:c>
      <x:c r="G25" s="21" t="s">
        <x:v>283</x:v>
      </x:c>
      <x:c r="H25" s="21" t="s">
        <x:v>97</x:v>
      </x:c>
      <x:c r="I25" s="21" t="s">
        <x:v>74</x:v>
      </x:c>
      <x:c r="J25" s="21" t="s">
        <x:v>139</x:v>
      </x:c>
      <x:c r="K25" s="21" t="s">
        <x:v>284</x:v>
      </x:c>
      <x:c r="L25" s="21" t="s">
        <x:v>77</x:v>
      </x:c>
      <x:c r="M25" s="21" t="s">
        <x:v>285</x:v>
      </x:c>
    </x:row>
    <x:row r="26" ht="42" customHeight="1">
      <x:c r="A26" s="21" t="s">
        <x:v>286</x:v>
      </x:c>
      <x:c r="B26" s="21" t="s">
        <x:v>287</x:v>
      </x:c>
      <x:c r="C26" s="21" t="s">
        <x:v>288</x:v>
      </x:c>
      <x:c r="D26" s="21" t="s">
        <x:v>289</x:v>
      </x:c>
      <x:c r="E26" s="21" t="s">
        <x:v>290</x:v>
      </x:c>
      <x:c r="F26" s="21" t="s">
        <x:v>291</x:v>
      </x:c>
      <x:c r="G26" s="21" t="s">
        <x:v>292</x:v>
      </x:c>
      <x:c r="H26" s="21" t="s">
        <x:v>73</x:v>
      </x:c>
      <x:c r="I26" s="21" t="s">
        <x:v>87</x:v>
      </x:c>
      <x:c r="J26" s="21"/>
      <x:c r="K26" s="21" t="s">
        <x:v>176</x:v>
      </x:c>
      <x:c r="L26" s="21" t="s">
        <x:v>64</x:v>
      </x:c>
      <x:c r="M26" s="21" t="s">
        <x:v>293</x:v>
      </x:c>
    </x:row>
    <x:row r="27" ht="42" customHeight="1">
      <x:c r="A27" s="21" t="s">
        <x:v>294</x:v>
      </x:c>
      <x:c r="B27" s="21" t="s">
        <x:v>295</x:v>
      </x:c>
      <x:c r="C27" s="21" t="s">
        <x:v>296</x:v>
      </x:c>
      <x:c r="D27" s="21" t="s">
        <x:v>297</x:v>
      </x:c>
      <x:c r="E27" s="21" t="s">
        <x:v>298</x:v>
      </x:c>
      <x:c r="F27" s="21" t="s">
        <x:v>299</x:v>
      </x:c>
      <x:c r="G27" s="21" t="s">
        <x:v>300</x:v>
      </x:c>
      <x:c r="H27" s="21" t="s">
        <x:v>60</x:v>
      </x:c>
      <x:c r="I27" s="21" t="s">
        <x:v>301</x:v>
      </x:c>
      <x:c r="J27" s="21" t="s">
        <x:v>241</x:v>
      </x:c>
      <x:c r="K27" s="21" t="s">
        <x:v>88</x:v>
      </x:c>
      <x:c r="L27" s="21" t="s">
        <x:v>77</x:v>
      </x:c>
      <x:c r="M27" s="21" t="s">
        <x:v>302</x:v>
      </x:c>
    </x:row>
    <x:row r="28" ht="42" customHeight="1">
      <x:c r="A28" s="21" t="s">
        <x:v>303</x:v>
      </x:c>
      <x:c r="B28" s="21" t="s">
        <x:v>304</x:v>
      </x:c>
      <x:c r="C28" s="21" t="s">
        <x:v>305</x:v>
      </x:c>
      <x:c r="D28" s="21" t="s">
        <x:v>306</x:v>
      </x:c>
      <x:c r="E28" s="21" t="s">
        <x:v>307</x:v>
      </x:c>
      <x:c r="F28" s="21" t="s">
        <x:v>308</x:v>
      </x:c>
      <x:c r="G28" s="21" t="s">
        <x:v>309</x:v>
      </x:c>
      <x:c r="H28" s="21" t="s">
        <x:v>86</x:v>
      </x:c>
      <x:c r="I28" s="21" t="s">
        <x:v>310</x:v>
      </x:c>
      <x:c r="J28" s="21" t="s">
        <x:v>311</x:v>
      </x:c>
      <x:c r="K28" s="21"/>
      <x:c r="L28" s="21" t="s">
        <x:v>64</x:v>
      </x:c>
      <x:c r="M28" s="21" t="s">
        <x:v>312</x:v>
      </x:c>
    </x:row>
    <x:row r="29" ht="42" customHeight="1">
      <x:c r="A29" s="21" t="s">
        <x:v>313</x:v>
      </x:c>
      <x:c r="B29" s="21" t="s">
        <x:v>67</x:v>
      </x:c>
      <x:c r="C29" s="21" t="s">
        <x:v>314</x:v>
      </x:c>
      <x:c r="D29" s="21" t="s">
        <x:v>69</x:v>
      </x:c>
      <x:c r="E29" s="21" t="s">
        <x:v>70</x:v>
      </x:c>
      <x:c r="F29" s="21" t="s">
        <x:v>315</x:v>
      </x:c>
      <x:c r="G29" s="21" t="s">
        <x:v>316</x:v>
      </x:c>
      <x:c r="H29" s="21" t="s">
        <x:v>317</x:v>
      </x:c>
      <x:c r="I29" s="21" t="s">
        <x:v>109</x:v>
      </x:c>
      <x:c r="J29" s="21" t="s">
        <x:v>157</x:v>
      </x:c>
      <x:c r="K29" s="21" t="s">
        <x:v>76</x:v>
      </x:c>
      <x:c r="L29" s="21" t="s">
        <x:v>77</x:v>
      </x:c>
      <x:c r="M29" s="21" t="s">
        <x:v>318</x:v>
      </x:c>
    </x:row>
    <x:row r="30" ht="42" customHeight="1">
      <x:c r="A30" s="21" t="s">
        <x:v>319</x:v>
      </x:c>
      <x:c r="B30" s="21" t="s">
        <x:v>189</x:v>
      </x:c>
      <x:c r="C30" s="21" t="s">
        <x:v>190</x:v>
      </x:c>
      <x:c r="D30" s="21" t="s">
        <x:v>191</x:v>
      </x:c>
      <x:c r="E30" s="21" t="s">
        <x:v>94</x:v>
      </x:c>
      <x:c r="F30" s="21" t="s">
        <x:v>192</x:v>
      </x:c>
      <x:c r="G30" s="21" t="s">
        <x:v>193</x:v>
      </x:c>
      <x:c r="H30" s="21" t="s">
        <x:v>73</x:v>
      </x:c>
      <x:c r="I30" s="21" t="s">
        <x:v>61</x:v>
      </x:c>
      <x:c r="J30" s="21" t="s">
        <x:v>194</x:v>
      </x:c>
      <x:c r="K30" s="21" t="s">
        <x:v>320</x:v>
      </x:c>
      <x:c r="L30" s="21" t="s">
        <x:v>77</x:v>
      </x:c>
      <x:c r="M30" s="21" t="s">
        <x:v>321</x:v>
      </x:c>
    </x:row>
    <x:row r="31" ht="42" customHeight="1">
      <x:c r="A31" s="21" t="s">
        <x:v>322</x:v>
      </x:c>
      <x:c r="B31" s="21" t="s">
        <x:v>323</x:v>
      </x:c>
      <x:c r="C31" s="21" t="s">
        <x:v>324</x:v>
      </x:c>
      <x:c r="D31" s="21" t="s">
        <x:v>325</x:v>
      </x:c>
      <x:c r="E31" s="21" t="s">
        <x:v>326</x:v>
      </x:c>
      <x:c r="F31" s="21" t="s">
        <x:v>327</x:v>
      </x:c>
      <x:c r="G31" s="21" t="s">
        <x:v>328</x:v>
      </x:c>
      <x:c r="H31" s="21" t="s">
        <x:v>97</x:v>
      </x:c>
      <x:c r="I31" s="21" t="s">
        <x:v>87</x:v>
      </x:c>
      <x:c r="J31" s="21"/>
      <x:c r="K31" s="21" t="s">
        <x:v>203</x:v>
      </x:c>
      <x:c r="L31" s="21" t="s">
        <x:v>64</x:v>
      </x:c>
      <x:c r="M31" s="21" t="s">
        <x:v>329</x:v>
      </x:c>
    </x:row>
    <x:row r="32" ht="42" customHeight="1">
      <x:c r="A32" s="21" t="s">
        <x:v>330</x:v>
      </x:c>
      <x:c r="B32" s="21" t="s">
        <x:v>331</x:v>
      </x:c>
      <x:c r="C32" s="21" t="s">
        <x:v>332</x:v>
      </x:c>
      <x:c r="D32" s="21" t="s">
        <x:v>333</x:v>
      </x:c>
      <x:c r="E32" s="21" t="s">
        <x:v>117</x:v>
      </x:c>
      <x:c r="F32" s="21" t="s">
        <x:v>334</x:v>
      </x:c>
      <x:c r="G32" s="21" t="s">
        <x:v>335</x:v>
      </x:c>
      <x:c r="H32" s="21" t="s">
        <x:v>60</x:v>
      </x:c>
      <x:c r="I32" s="21" t="s">
        <x:v>74</x:v>
      </x:c>
      <x:c r="J32" s="21" t="s">
        <x:v>336</x:v>
      </x:c>
      <x:c r="K32" s="21" t="s">
        <x:v>76</x:v>
      </x:c>
      <x:c r="L32" s="21"/>
      <x:c r="M32" s="21" t="s">
        <x:v>337</x:v>
      </x:c>
    </x:row>
    <x:row r="33" ht="42" customHeight="1">
      <x:c r="A33" s="21" t="s">
        <x:v>338</x:v>
      </x:c>
      <x:c r="B33" s="21" t="s">
        <x:v>170</x:v>
      </x:c>
      <x:c r="C33" s="21" t="s">
        <x:v>171</x:v>
      </x:c>
      <x:c r="D33" s="21" t="s">
        <x:v>172</x:v>
      </x:c>
      <x:c r="E33" s="21" t="s">
        <x:v>173</x:v>
      </x:c>
      <x:c r="F33" s="21" t="s">
        <x:v>174</x:v>
      </x:c>
      <x:c r="G33" s="21" t="s">
        <x:v>339</x:v>
      </x:c>
      <x:c r="H33" s="21" t="s">
        <x:v>340</x:v>
      </x:c>
      <x:c r="I33" s="21" t="s">
        <x:v>341</x:v>
      </x:c>
      <x:c r="J33" s="21"/>
      <x:c r="K33" s="21" t="s">
        <x:v>176</x:v>
      </x:c>
      <x:c r="L33" s="21" t="s">
        <x:v>77</x:v>
      </x:c>
      <x:c r="M33" s="21" t="s">
        <x:v>342</x:v>
      </x:c>
    </x:row>
    <x:row r="34" ht="42" customHeight="1">
      <x:c r="A34" s="21" t="s">
        <x:v>343</x:v>
      </x:c>
      <x:c r="B34" s="21" t="s">
        <x:v>344</x:v>
      </x:c>
      <x:c r="C34" s="21" t="s">
        <x:v>345</x:v>
      </x:c>
      <x:c r="D34" s="21" t="s">
        <x:v>346</x:v>
      </x:c>
      <x:c r="E34" s="21" t="s">
        <x:v>298</x:v>
      </x:c>
      <x:c r="F34" s="21" t="s">
        <x:v>347</x:v>
      </x:c>
      <x:c r="G34" s="21" t="s">
        <x:v>348</x:v>
      </x:c>
      <x:c r="H34" s="21" t="s">
        <x:v>97</x:v>
      </x:c>
      <x:c r="I34" s="21" t="s">
        <x:v>61</x:v>
      </x:c>
      <x:c r="J34" s="21" t="s">
        <x:v>213</x:v>
      </x:c>
      <x:c r="K34" s="21" t="s">
        <x:v>121</x:v>
      </x:c>
      <x:c r="L34" s="21" t="s">
        <x:v>64</x:v>
      </x:c>
      <x:c r="M34" s="21" t="s">
        <x:v>349</x:v>
      </x:c>
    </x:row>
    <x:row r="35" ht="42" customHeight="1">
      <x:c r="A35" s="21" t="s">
        <x:v>350</x:v>
      </x:c>
      <x:c r="B35" s="21" t="s">
        <x:v>351</x:v>
      </x:c>
      <x:c r="C35" s="21" t="s">
        <x:v>134</x:v>
      </x:c>
      <x:c r="D35" s="21" t="s">
        <x:v>352</x:v>
      </x:c>
      <x:c r="E35" s="21" t="s">
        <x:v>353</x:v>
      </x:c>
      <x:c r="F35" s="21" t="s">
        <x:v>354</x:v>
      </x:c>
      <x:c r="G35" s="21" t="s">
        <x:v>355</x:v>
      </x:c>
      <x:c r="H35" s="21" t="s">
        <x:v>60</x:v>
      </x:c>
      <x:c r="I35" s="21" t="s">
        <x:v>74</x:v>
      </x:c>
      <x:c r="J35" s="21" t="s">
        <x:v>99</x:v>
      </x:c>
      <x:c r="K35" s="21" t="s">
        <x:v>276</x:v>
      </x:c>
      <x:c r="L35" s="21" t="s">
        <x:v>77</x:v>
      </x:c>
      <x:c r="M35" s="21" t="s">
        <x:v>356</x:v>
      </x:c>
    </x:row>
    <x:row r="36" ht="42" customHeight="1">
      <x:c r="A36" s="21" t="s">
        <x:v>357</x:v>
      </x:c>
      <x:c r="B36" s="21" t="s">
        <x:v>358</x:v>
      </x:c>
      <x:c r="C36" s="21" t="s">
        <x:v>359</x:v>
      </x:c>
      <x:c r="D36" s="21" t="s">
        <x:v>360</x:v>
      </x:c>
      <x:c r="E36" s="21" t="s">
        <x:v>361</x:v>
      </x:c>
      <x:c r="F36" s="21" t="s">
        <x:v>362</x:v>
      </x:c>
      <x:c r="G36" s="21" t="s">
        <x:v>363</x:v>
      </x:c>
      <x:c r="H36" s="21" t="s">
        <x:v>73</x:v>
      </x:c>
      <x:c r="I36" s="21" t="s">
        <x:v>364</x:v>
      </x:c>
      <x:c r="J36" s="21" t="s">
        <x:v>120</x:v>
      </x:c>
      <x:c r="K36" s="21" t="s">
        <x:v>147</x:v>
      </x:c>
      <x:c r="L36" s="21" t="s">
        <x:v>64</x:v>
      </x:c>
      <x:c r="M36" s="21" t="s">
        <x:v>365</x:v>
      </x:c>
    </x:row>
    <x:row r="37" ht="42" customHeight="1">
      <x:c r="A37" s="21" t="s">
        <x:v>366</x:v>
      </x:c>
      <x:c r="B37" s="21" t="s">
        <x:v>367</x:v>
      </x:c>
      <x:c r="C37" s="21" t="s">
        <x:v>368</x:v>
      </x:c>
      <x:c r="D37" s="21" t="s">
        <x:v>369</x:v>
      </x:c>
      <x:c r="E37" s="21" t="s">
        <x:v>370</x:v>
      </x:c>
      <x:c r="F37" s="21" t="s">
        <x:v>371</x:v>
      </x:c>
      <x:c r="G37" s="21" t="s">
        <x:v>372</x:v>
      </x:c>
      <x:c r="H37" s="21" t="s">
        <x:v>60</x:v>
      </x:c>
      <x:c r="I37" s="21" t="s">
        <x:v>74</x:v>
      </x:c>
      <x:c r="J37" s="21" t="s">
        <x:v>373</x:v>
      </x:c>
      <x:c r="K37" s="21" t="s">
        <x:v>121</x:v>
      </x:c>
      <x:c r="L37" s="21" t="s">
        <x:v>77</x:v>
      </x:c>
      <x:c r="M37" s="21" t="s">
        <x:v>374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10.4399995803833" hidden="0" customWidth="1"/>
    <x:col min="2" max="3" width="17" customWidth="1"/>
    <x:col min="4" max="4" width="21.110000610351562" hidden="0" customWidth="1"/>
    <x:col min="5" max="5" width="20" hidden="0" customWidth="1"/>
    <x:col min="6" max="6" width="28.329999923706055" hidden="0" customWidth="1"/>
    <x:col min="7" max="7" width="15.5600004196167" hidden="0" customWidth="1"/>
    <x:col min="8" max="9" width="19" customWidth="1"/>
    <x:col min="10" max="11" width="18" style="15" customWidth="1"/>
    <x:col min="12" max="12" width="11.109999656677246" hidden="0" customWidth="1"/>
    <x:col min="13" max="13" width="47.779998779296875" hidden="0" customWidth="1"/>
    <x:col min="14" max="14" width="31.110000610351562" hidden="0" customWidth="1"/>
    <x:col min="2" max="2" width="11.670000076293945" hidden="0" customWidth="1"/>
    <x:col min="3" max="3" width="13.329999923706055" hidden="0" customWidth="1"/>
    <x:col min="8" max="8" width="13.890000343322754" hidden="0" customWidth="1"/>
    <x:col min="9" max="9" width="15.5600004196167" hidden="0" customWidth="1"/>
    <x:col min="10" max="10" width="12.779999732971191" hidden="0" customWidth="1"/>
    <x:col min="11" max="11" width="12.779999732971191" hidden="0" customWidth="1"/>
  </x:cols>
  <x:sheetData>
    <x:row r="1" ht="34" customHeight="1">
      <x:c r="A1" s="23" t="s">
        <x:v>40</x:v>
      </x:c>
      <x:c r="B1" s="23" t="s">
        <x:v>41</x:v>
      </x:c>
      <x:c r="C1" s="23" t="s">
        <x:v>42</x:v>
      </x:c>
      <x:c r="D1" s="23" t="s">
        <x:v>43</x:v>
      </x:c>
      <x:c r="E1" s="23" t="s">
        <x:v>44</x:v>
      </x:c>
      <x:c r="F1" s="23" t="s">
        <x:v>45</x:v>
      </x:c>
      <x:c r="G1" s="23" t="s">
        <x:v>46</x:v>
      </x:c>
      <x:c r="H1" s="23" t="s">
        <x:v>47</x:v>
      </x:c>
      <x:c r="I1" s="23" t="s">
        <x:v>48</x:v>
      </x:c>
      <x:c r="J1" s="31" t="s">
        <x:v>49</x:v>
      </x:c>
      <x:c r="K1" s="31" t="s">
        <x:v>50</x:v>
      </x:c>
      <x:c r="L1" s="23" t="s">
        <x:v>51</x:v>
      </x:c>
      <x:c r="M1" s="23" t="s">
        <x:v>52</x:v>
      </x:c>
      <x:c r="N1" s="23" t="s">
        <x:v>375</x:v>
      </x:c>
    </x:row>
    <x:row r="2" ht="52" customHeight="1">
      <x:c r="A2" s="21" t="s">
        <x:v>53</x:v>
      </x:c>
      <x:c r="B2" s="21" t="s">
        <x:v>54</x:v>
      </x:c>
      <x:c r="C2" s="21" t="s">
        <x:v>55</x:v>
      </x:c>
      <x:c r="D2" s="21" t="s">
        <x:v>56</x:v>
      </x:c>
      <x:c r="E2" s="21" t="s">
        <x:v>57</x:v>
      </x:c>
      <x:c r="F2" s="21" t="s">
        <x:v>58</x:v>
      </x:c>
      <x:c r="G2" s="21" t="s">
        <x:v>59</x:v>
      </x:c>
      <x:c r="H2" s="21" t="s">
        <x:v>60</x:v>
      </x:c>
      <x:c r="I2" s="21" t="s">
        <x:v>61</x:v>
      </x:c>
      <x:c r="J2" s="32">
        <x:v>46304</x:v>
      </x:c>
      <x:c r="K2" s="32">
        <x:v>46315</x:v>
      </x:c>
      <x:c r="L2" s="21" t="s">
        <x:v>64</x:v>
      </x:c>
      <x:c r="M2" s="21" t="s">
        <x:v>65</x:v>
      </x:c>
      <x:c r="N2" s="21" t="s">
        <x:v>376</x:v>
      </x:c>
    </x:row>
    <x:row r="3" ht="52" customHeight="1">
      <x:c r="A3" s="21" t="s">
        <x:v>66</x:v>
      </x:c>
      <x:c r="B3" s="21" t="s">
        <x:v>67</x:v>
      </x:c>
      <x:c r="C3" s="21" t="s">
        <x:v>68</x:v>
      </x:c>
      <x:c r="D3" s="21" t="s">
        <x:v>69</x:v>
      </x:c>
      <x:c r="E3" s="21" t="s">
        <x:v>70</x:v>
      </x:c>
      <x:c r="F3" s="21" t="s">
        <x:v>71</x:v>
      </x:c>
      <x:c r="G3" s="21" t="s">
        <x:v>72</x:v>
      </x:c>
      <x:c r="H3" s="21" t="s">
        <x:v>73</x:v>
      </x:c>
      <x:c r="I3" s="21" t="s">
        <x:v>74</x:v>
      </x:c>
      <x:c r="J3" s="32">
        <x:v>46310</x:v>
      </x:c>
      <x:c r="K3" s="32">
        <x:v>46316</x:v>
      </x:c>
      <x:c r="L3" s="21" t="s">
        <x:v>77</x:v>
      </x:c>
      <x:c r="M3" s="21" t="s">
        <x:v>78</x:v>
      </x:c>
      <x:c r="N3" s="21" t="s">
        <x:v>376</x:v>
      </x:c>
    </x:row>
    <x:row r="4" ht="52" customHeight="1">
      <x:c r="A4" s="21" t="s">
        <x:v>79</x:v>
      </x:c>
      <x:c r="B4" s="21" t="s">
        <x:v>80</x:v>
      </x:c>
      <x:c r="C4" s="21" t="s">
        <x:v>81</x:v>
      </x:c>
      <x:c r="D4" s="21" t="s">
        <x:v>82</x:v>
      </x:c>
      <x:c r="E4" s="21" t="s">
        <x:v>83</x:v>
      </x:c>
      <x:c r="F4" s="21" t="s">
        <x:v>84</x:v>
      </x:c>
      <x:c r="G4" s="21" t="s">
        <x:v>85</x:v>
      </x:c>
      <x:c r="H4" s="21" t="s">
        <x:v>86</x:v>
      </x:c>
      <x:c r="I4" s="21" t="s">
        <x:v>87</x:v>
      </x:c>
      <x:c r="J4" s="32"/>
      <x:c r="K4" s="32">
        <x:v>46318</x:v>
      </x:c>
      <x:c r="L4" s="21" t="s">
        <x:v>64</x:v>
      </x:c>
      <x:c r="M4" s="21" t="s">
        <x:v>89</x:v>
      </x:c>
      <x:c r="N4" s="21" t="s">
        <x:v>377</x:v>
      </x:c>
    </x:row>
    <x:row r="5" ht="52" customHeight="1">
      <x:c r="A5" s="21" t="s">
        <x:v>90</x:v>
      </x:c>
      <x:c r="B5" s="21" t="s">
        <x:v>91</x:v>
      </x:c>
      <x:c r="C5" s="21" t="s">
        <x:v>92</x:v>
      </x:c>
      <x:c r="D5" s="21" t="s">
        <x:v>93</x:v>
      </x:c>
      <x:c r="E5" s="21" t="s">
        <x:v>94</x:v>
      </x:c>
      <x:c r="F5" s="21" t="s">
        <x:v>95</x:v>
      </x:c>
      <x:c r="G5" s="21" t="s">
        <x:v>96</x:v>
      </x:c>
      <x:c r="H5" s="21" t="s">
        <x:v>97</x:v>
      </x:c>
      <x:c r="I5" s="21" t="s">
        <x:v>266</x:v>
      </x:c>
      <x:c r="J5" s="32">
        <x:v>46305</x:v>
      </x:c>
      <x:c r="K5" s="32">
        <x:v>46314</x:v>
      </x:c>
      <x:c r="L5" s="21" t="s">
        <x:v>77</x:v>
      </x:c>
      <x:c r="M5" s="21" t="s">
        <x:v>101</x:v>
      </x:c>
      <x:c r="N5" s="21" t="s">
        <x:v>377</x:v>
      </x:c>
    </x:row>
    <x:row r="6" ht="52" customHeight="1">
      <x:c r="A6" s="21" t="s">
        <x:v>102</x:v>
      </x:c>
      <x:c r="B6" s="21" t="s">
        <x:v>103</x:v>
      </x:c>
      <x:c r="C6" s="21" t="s">
        <x:v>104</x:v>
      </x:c>
      <x:c r="D6" s="21" t="s">
        <x:v>105</x:v>
      </x:c>
      <x:c r="E6" s="21" t="s">
        <x:v>106</x:v>
      </x:c>
      <x:c r="F6" s="21" t="s">
        <x:v>107</x:v>
      </x:c>
      <x:c r="G6" s="21" t="s">
        <x:v>108</x:v>
      </x:c>
      <x:c r="H6" s="21" t="s">
        <x:v>60</x:v>
      </x:c>
      <x:c r="I6" s="21" t="s">
        <x:v>74</x:v>
      </x:c>
      <x:c r="J6" s="32">
        <x:v>46301</x:v>
      </x:c>
      <x:c r="K6" s="32">
        <x:v>46313</x:v>
      </x:c>
      <x:c r="L6" s="21" t="s">
        <x:v>64</x:v>
      </x:c>
      <x:c r="M6" s="21" t="s">
        <x:v>112</x:v>
      </x:c>
      <x:c r="N6" s="21" t="s">
        <x:v>378</x:v>
      </x:c>
    </x:row>
    <x:row r="7" ht="52" customHeight="1">
      <x:c r="A7" s="21" t="s">
        <x:v>113</x:v>
      </x:c>
      <x:c r="B7" s="21" t="s">
        <x:v>114</x:v>
      </x:c>
      <x:c r="C7" s="21" t="s">
        <x:v>115</x:v>
      </x:c>
      <x:c r="D7" s="21" t="s">
        <x:v>116</x:v>
      </x:c>
      <x:c r="E7" s="21" t="s">
        <x:v>117</x:v>
      </x:c>
      <x:c r="F7" s="21" t="s">
        <x:v>118</x:v>
      </x:c>
      <x:c r="G7" s="21" t="s">
        <x:v>119</x:v>
      </x:c>
      <x:c r="H7" s="21" t="s">
        <x:v>73</x:v>
      </x:c>
      <x:c r="I7" s="21" t="s">
        <x:v>61</x:v>
      </x:c>
      <x:c r="J7" s="32">
        <x:v>46309</x:v>
      </x:c>
      <x:c r="K7" s="32">
        <x:v>46317</x:v>
      </x:c>
      <x:c r="L7" s="21" t="s">
        <x:v>77</x:v>
      </x:c>
      <x:c r="M7" s="21" t="s">
        <x:v>122</x:v>
      </x:c>
      <x:c r="N7" s="21" t="s">
        <x:v>377</x:v>
      </x:c>
    </x:row>
    <x:row r="8" ht="52" customHeight="1">
      <x:c r="A8" s="21" t="s">
        <x:v>123</x:v>
      </x:c>
      <x:c r="B8" s="21" t="s">
        <x:v>124</x:v>
      </x:c>
      <x:c r="C8" s="21" t="s">
        <x:v>125</x:v>
      </x:c>
      <x:c r="D8" s="21" t="s">
        <x:v>126</x:v>
      </x:c>
      <x:c r="E8" s="21" t="s">
        <x:v>127</x:v>
      </x:c>
      <x:c r="F8" s="21" t="s">
        <x:v>128</x:v>
      </x:c>
      <x:c r="G8" s="21" t="s">
        <x:v>129</x:v>
      </x:c>
      <x:c r="H8" s="21" t="s">
        <x:v>86</x:v>
      </x:c>
      <x:c r="I8" s="21" t="s">
        <x:v>87</x:v>
      </x:c>
      <x:c r="J8" s="32"/>
      <x:c r="K8" s="32">
        <x:v>46323</x:v>
      </x:c>
      <x:c r="L8" s="21" t="s">
        <x:v>64</x:v>
      </x:c>
      <x:c r="M8" s="21" t="s">
        <x:v>131</x:v>
      </x:c>
      <x:c r="N8" s="21" t="s">
        <x:v>377</x:v>
      </x:c>
    </x:row>
    <x:row r="9" ht="52" customHeight="1">
      <x:c r="A9" s="21" t="s">
        <x:v>132</x:v>
      </x:c>
      <x:c r="B9" s="21" t="s">
        <x:v>133</x:v>
      </x:c>
      <x:c r="C9" s="21" t="s">
        <x:v>134</x:v>
      </x:c>
      <x:c r="D9" s="21" t="s">
        <x:v>135</x:v>
      </x:c>
      <x:c r="E9" s="21" t="s">
        <x:v>136</x:v>
      </x:c>
      <x:c r="F9" s="21" t="s">
        <x:v>137</x:v>
      </x:c>
      <x:c r="G9" s="21" t="s">
        <x:v>138</x:v>
      </x:c>
      <x:c r="H9" s="21" t="s">
        <x:v>60</x:v>
      </x:c>
      <x:c r="I9" s="21" t="s">
        <x:v>74</x:v>
      </x:c>
      <x:c r="J9" s="32">
        <x:v>46304</x:v>
      </x:c>
      <x:c r="K9" s="32">
        <x:v>46315</x:v>
      </x:c>
      <x:c r="L9" s="21" t="s">
        <x:v>77</x:v>
      </x:c>
      <x:c r="M9" s="21" t="s">
        <x:v>140</x:v>
      </x:c>
      <x:c r="N9" s="21" t="s">
        <x:v>377</x:v>
      </x:c>
    </x:row>
    <x:row r="10" ht="52" customHeight="1">
      <x:c r="A10" s="21" t="s">
        <x:v>141</x:v>
      </x:c>
      <x:c r="B10" s="21" t="s">
        <x:v>142</x:v>
      </x:c>
      <x:c r="C10" s="21" t="s">
        <x:v>143</x:v>
      </x:c>
      <x:c r="D10" s="21" t="s">
        <x:v>144</x:v>
      </x:c>
      <x:c r="E10" s="21" t="s">
        <x:v>145</x:v>
      </x:c>
      <x:c r="F10" s="21"/>
      <x:c r="G10" s="21" t="s">
        <x:v>146</x:v>
      </x:c>
      <x:c r="H10" s="21" t="s">
        <x:v>73</x:v>
      </x:c>
      <x:c r="I10" s="21" t="s">
        <x:v>87</x:v>
      </x:c>
      <x:c r="J10" s="32"/>
      <x:c r="K10" s="32">
        <x:v>46321</x:v>
      </x:c>
      <x:c r="L10" s="21" t="s">
        <x:v>64</x:v>
      </x:c>
      <x:c r="M10" s="21" t="s">
        <x:v>148</x:v>
      </x:c>
      <x:c r="N10" s="21" t="s">
        <x:v>379</x:v>
      </x:c>
    </x:row>
    <x:row r="11" ht="52" customHeight="1">
      <x:c r="A11" s="21" t="s">
        <x:v>149</x:v>
      </x:c>
      <x:c r="B11" s="21" t="s">
        <x:v>150</x:v>
      </x:c>
      <x:c r="C11" s="21" t="s">
        <x:v>151</x:v>
      </x:c>
      <x:c r="D11" s="21" t="s">
        <x:v>152</x:v>
      </x:c>
      <x:c r="E11" s="21" t="s">
        <x:v>153</x:v>
      </x:c>
      <x:c r="F11" s="21" t="s">
        <x:v>154</x:v>
      </x:c>
      <x:c r="G11" s="21" t="s">
        <x:v>155</x:v>
      </x:c>
      <x:c r="H11" s="21" t="s">
        <x:v>97</x:v>
      </x:c>
      <x:c r="I11" s="21" t="s">
        <x:v>61</x:v>
      </x:c>
      <x:c r="J11" s="32">
        <x:v>46310</x:v>
      </x:c>
      <x:c r="K11" s="32">
        <x:v>46316</x:v>
      </x:c>
      <x:c r="L11" s="21" t="s">
        <x:v>77</x:v>
      </x:c>
      <x:c r="M11" s="21" t="s">
        <x:v>158</x:v>
      </x:c>
      <x:c r="N11" s="21" t="s">
        <x:v>377</x:v>
      </x:c>
    </x:row>
    <x:row r="12" ht="52" customHeight="1">
      <x:c r="A12" s="21" t="s">
        <x:v>159</x:v>
      </x:c>
      <x:c r="B12" s="21" t="s">
        <x:v>160</x:v>
      </x:c>
      <x:c r="C12" s="21" t="s">
        <x:v>161</x:v>
      </x:c>
      <x:c r="D12" s="21" t="s">
        <x:v>162</x:v>
      </x:c>
      <x:c r="E12" s="21" t="s">
        <x:v>163</x:v>
      </x:c>
      <x:c r="F12" s="21" t="s">
        <x:v>164</x:v>
      </x:c>
      <x:c r="G12" s="21" t="s">
        <x:v>165</x:v>
      </x:c>
      <x:c r="H12" s="21" t="s">
        <x:v>60</x:v>
      </x:c>
      <x:c r="I12" s="21" t="s">
        <x:v>74</x:v>
      </x:c>
      <x:c r="J12" s="32">
        <x:v>46303</x:v>
      </x:c>
      <x:c r="K12" s="32">
        <x:v>46314</x:v>
      </x:c>
      <x:c r="L12" s="21" t="s">
        <x:v>64</x:v>
      </x:c>
      <x:c r="M12" s="21" t="s">
        <x:v>168</x:v>
      </x:c>
      <x:c r="N12" s="21" t="s">
        <x:v>377</x:v>
      </x:c>
    </x:row>
    <x:row r="13" ht="52" customHeight="1">
      <x:c r="A13" s="21" t="s">
        <x:v>169</x:v>
      </x:c>
      <x:c r="B13" s="21" t="s">
        <x:v>170</x:v>
      </x:c>
      <x:c r="C13" s="21" t="s">
        <x:v>171</x:v>
      </x:c>
      <x:c r="D13" s="21" t="s">
        <x:v>172</x:v>
      </x:c>
      <x:c r="E13" s="21" t="s">
        <x:v>173</x:v>
      </x:c>
      <x:c r="F13" s="21" t="s">
        <x:v>174</x:v>
      </x:c>
      <x:c r="G13" s="21" t="s">
        <x:v>175</x:v>
      </x:c>
      <x:c r="H13" s="21" t="s">
        <x:v>86</x:v>
      </x:c>
      <x:c r="I13" s="21" t="s">
        <x:v>87</x:v>
      </x:c>
      <x:c r="J13" s="32"/>
      <x:c r="K13" s="32">
        <x:v>46322</x:v>
      </x:c>
      <x:c r="L13" s="21" t="s">
        <x:v>77</x:v>
      </x:c>
      <x:c r="M13" s="21" t="s">
        <x:v>177</x:v>
      </x:c>
      <x:c r="N13" s="21" t="s">
        <x:v>376</x:v>
      </x:c>
    </x:row>
    <x:row r="14" ht="52" customHeight="1">
      <x:c r="A14" s="21" t="s">
        <x:v>188</x:v>
      </x:c>
      <x:c r="B14" s="21" t="s">
        <x:v>189</x:v>
      </x:c>
      <x:c r="C14" s="21" t="s">
        <x:v>190</x:v>
      </x:c>
      <x:c r="D14" s="21" t="s">
        <x:v>191</x:v>
      </x:c>
      <x:c r="E14" s="21" t="s">
        <x:v>94</x:v>
      </x:c>
      <x:c r="F14" s="21" t="s">
        <x:v>192</x:v>
      </x:c>
      <x:c r="G14" s="21" t="s">
        <x:v>193</x:v>
      </x:c>
      <x:c r="H14" s="21" t="s">
        <x:v>73</x:v>
      </x:c>
      <x:c r="I14" s="21" t="s">
        <x:v>61</x:v>
      </x:c>
      <x:c r="J14" s="32">
        <x:v>46306</x:v>
      </x:c>
      <x:c r="K14" s="32">
        <x:v>46320</x:v>
      </x:c>
      <x:c r="L14" s="21" t="s">
        <x:v>77</x:v>
      </x:c>
      <x:c r="M14" s="21" t="s">
        <x:v>380</x:v>
      </x:c>
      <x:c r="N14" s="21" t="s">
        <x:v>376</x:v>
      </x:c>
    </x:row>
    <x:row r="15" ht="52" customHeight="1">
      <x:c r="A15" s="21" t="s">
        <x:v>196</x:v>
      </x:c>
      <x:c r="B15" s="21" t="s">
        <x:v>197</x:v>
      </x:c>
      <x:c r="C15" s="21" t="s">
        <x:v>198</x:v>
      </x:c>
      <x:c r="D15" s="21" t="s">
        <x:v>199</x:v>
      </x:c>
      <x:c r="E15" s="21" t="s">
        <x:v>200</x:v>
      </x:c>
      <x:c r="F15" s="21" t="s">
        <x:v>201</x:v>
      </x:c>
      <x:c r="G15" s="21" t="s">
        <x:v>202</x:v>
      </x:c>
      <x:c r="H15" s="21" t="s">
        <x:v>60</x:v>
      </x:c>
      <x:c r="I15" s="21" t="s">
        <x:v>87</x:v>
      </x:c>
      <x:c r="J15" s="32"/>
      <x:c r="K15" s="32">
        <x:v>46324</x:v>
      </x:c>
      <x:c r="L15" s="21" t="s">
        <x:v>64</x:v>
      </x:c>
      <x:c r="M15" s="21" t="s">
        <x:v>204</x:v>
      </x:c>
      <x:c r="N15" s="21" t="s">
        <x:v>377</x:v>
      </x:c>
    </x:row>
    <x:row r="16" ht="52" customHeight="1">
      <x:c r="A16" s="21" t="s">
        <x:v>205</x:v>
      </x:c>
      <x:c r="B16" s="21" t="s">
        <x:v>206</x:v>
      </x:c>
      <x:c r="C16" s="21" t="s">
        <x:v>207</x:v>
      </x:c>
      <x:c r="D16" s="21" t="s">
        <x:v>208</x:v>
      </x:c>
      <x:c r="E16" s="21" t="s">
        <x:v>209</x:v>
      </x:c>
      <x:c r="F16" s="21" t="s">
        <x:v>210</x:v>
      </x:c>
      <x:c r="G16" s="21" t="s">
        <x:v>211</x:v>
      </x:c>
      <x:c r="H16" s="21" t="s">
        <x:v>86</x:v>
      </x:c>
      <x:c r="I16" s="21" t="s">
        <x:v>212</x:v>
      </x:c>
      <x:c r="J16" s="32">
        <x:v>46308</x:v>
      </x:c>
      <x:c r="K16" s="32">
        <x:v>46315</x:v>
      </x:c>
      <x:c r="L16" s="21" t="s">
        <x:v>77</x:v>
      </x:c>
      <x:c r="M16" s="21" t="s">
        <x:v>214</x:v>
      </x:c>
      <x:c r="N16" s="21" t="s">
        <x:v>381</x:v>
      </x:c>
    </x:row>
    <x:row r="17" ht="52" customHeight="1">
      <x:c r="A17" s="21" t="s">
        <x:v>215</x:v>
      </x:c>
      <x:c r="B17" s="21" t="s">
        <x:v>216</x:v>
      </x:c>
      <x:c r="C17" s="21" t="s">
        <x:v>217</x:v>
      </x:c>
      <x:c r="D17" s="21" t="s">
        <x:v>218</x:v>
      </x:c>
      <x:c r="E17" s="21" t="s">
        <x:v>219</x:v>
      </x:c>
      <x:c r="F17" s="21" t="s">
        <x:v>220</x:v>
      </x:c>
      <x:c r="G17" s="21" t="s">
        <x:v>221</x:v>
      </x:c>
      <x:c r="H17" s="21" t="s">
        <x:v>73</x:v>
      </x:c>
      <x:c r="I17" s="21" t="s">
        <x:v>382</x:v>
      </x:c>
      <x:c r="J17" s="32">
        <x:v>46295</x:v>
      </x:c>
      <x:c r="K17" s="32"/>
      <x:c r="L17" s="21" t="s">
        <x:v>64</x:v>
      </x:c>
      <x:c r="M17" s="21" t="s">
        <x:v>224</x:v>
      </x:c>
      <x:c r="N17" s="21" t="s">
        <x:v>377</x:v>
      </x:c>
    </x:row>
    <x:row r="18" ht="52" customHeight="1">
      <x:c r="A18" s="21" t="s">
        <x:v>225</x:v>
      </x:c>
      <x:c r="B18" s="21" t="s">
        <x:v>226</x:v>
      </x:c>
      <x:c r="C18" s="21" t="s">
        <x:v>227</x:v>
      </x:c>
      <x:c r="D18" s="21" t="s">
        <x:v>228</x:v>
      </x:c>
      <x:c r="E18" s="21" t="s">
        <x:v>229</x:v>
      </x:c>
      <x:c r="F18" s="21"/>
      <x:c r="G18" s="21" t="s">
        <x:v>231</x:v>
      </x:c>
      <x:c r="H18" s="21" t="s">
        <x:v>60</x:v>
      </x:c>
      <x:c r="I18" s="21" t="s">
        <x:v>74</x:v>
      </x:c>
      <x:c r="J18" s="32">
        <x:v>46307</x:v>
      </x:c>
      <x:c r="K18" s="32">
        <x:v>46318</x:v>
      </x:c>
      <x:c r="L18" s="21" t="s">
        <x:v>77</x:v>
      </x:c>
      <x:c r="M18" s="21" t="s">
        <x:v>383</x:v>
      </x:c>
      <x:c r="N18" s="21" t="s">
        <x:v>384</x:v>
      </x:c>
    </x:row>
    <x:row r="19" ht="52" customHeight="1">
      <x:c r="A19" s="21" t="s">
        <x:v>234</x:v>
      </x:c>
      <x:c r="B19" s="21" t="s">
        <x:v>235</x:v>
      </x:c>
      <x:c r="C19" s="21" t="s">
        <x:v>236</x:v>
      </x:c>
      <x:c r="D19" s="21" t="s">
        <x:v>237</x:v>
      </x:c>
      <x:c r="E19" s="21" t="s">
        <x:v>238</x:v>
      </x:c>
      <x:c r="F19" s="21" t="s">
        <x:v>239</x:v>
      </x:c>
      <x:c r="G19" s="21" t="s">
        <x:v>240</x:v>
      </x:c>
      <x:c r="H19" s="21" t="s">
        <x:v>97</x:v>
      </x:c>
      <x:c r="I19" s="21" t="s">
        <x:v>61</x:v>
      </x:c>
      <x:c r="J19" s="32">
        <x:v>46311</x:v>
      </x:c>
      <x:c r="K19" s="32">
        <x:v>46317</x:v>
      </x:c>
      <x:c r="L19" s="21" t="s">
        <x:v>64</x:v>
      </x:c>
      <x:c r="M19" s="21" t="s">
        <x:v>242</x:v>
      </x:c>
      <x:c r="N19" s="21" t="s">
        <x:v>377</x:v>
      </x:c>
    </x:row>
    <x:row r="20" ht="52" customHeight="1">
      <x:c r="A20" s="21" t="s">
        <x:v>243</x:v>
      </x:c>
      <x:c r="B20" s="21" t="s">
        <x:v>244</x:v>
      </x:c>
      <x:c r="C20" s="21" t="s">
        <x:v>245</x:v>
      </x:c>
      <x:c r="D20" s="21" t="s">
        <x:v>69</x:v>
      </x:c>
      <x:c r="E20" s="21" t="s">
        <x:v>70</x:v>
      </x:c>
      <x:c r="F20" s="21"/>
      <x:c r="G20" s="21" t="s">
        <x:v>246</x:v>
      </x:c>
      <x:c r="H20" s="21" t="s">
        <x:v>73</x:v>
      </x:c>
      <x:c r="I20" s="21" t="s">
        <x:v>74</x:v>
      </x:c>
      <x:c r="J20" s="32">
        <x:v>46307</x:v>
      </x:c>
      <x:c r="K20" s="32">
        <x:v>46316</x:v>
      </x:c>
      <x:c r="L20" s="21" t="s">
        <x:v>77</x:v>
      </x:c>
      <x:c r="M20" s="21" t="s">
        <x:v>247</x:v>
      </x:c>
      <x:c r="N20" s="21" t="s">
        <x:v>385</x:v>
      </x:c>
    </x:row>
    <x:row r="21" ht="52" customHeight="1">
      <x:c r="A21" s="21" t="s">
        <x:v>248</x:v>
      </x:c>
      <x:c r="B21" s="21" t="s">
        <x:v>249</x:v>
      </x:c>
      <x:c r="C21" s="21" t="s">
        <x:v>250</x:v>
      </x:c>
      <x:c r="D21" s="21" t="s">
        <x:v>251</x:v>
      </x:c>
      <x:c r="E21" s="21" t="s">
        <x:v>252</x:v>
      </x:c>
      <x:c r="F21" s="21" t="s">
        <x:v>386</x:v>
      </x:c>
      <x:c r="G21" s="21" t="s">
        <x:v>387</x:v>
      </x:c>
      <x:c r="H21" s="21" t="s">
        <x:v>60</x:v>
      </x:c>
      <x:c r="I21" s="21" t="s">
        <x:v>87</x:v>
      </x:c>
      <x:c r="J21" s="32"/>
      <x:c r="K21" s="32">
        <x:v>46325</x:v>
      </x:c>
      <x:c r="L21" s="21" t="s">
        <x:v>64</x:v>
      </x:c>
      <x:c r="M21" s="21" t="s">
        <x:v>388</x:v>
      </x:c>
      <x:c r="N21" s="21" t="s">
        <x:v>377</x:v>
      </x:c>
    </x:row>
    <x:row r="22" ht="52" customHeight="1">
      <x:c r="A22" s="21" t="s">
        <x:v>259</x:v>
      </x:c>
      <x:c r="B22" s="21" t="s">
        <x:v>260</x:v>
      </x:c>
      <x:c r="C22" s="21" t="s">
        <x:v>261</x:v>
      </x:c>
      <x:c r="D22" s="21" t="s">
        <x:v>262</x:v>
      </x:c>
      <x:c r="E22" s="21" t="s">
        <x:v>263</x:v>
      </x:c>
      <x:c r="F22" s="21" t="s">
        <x:v>264</x:v>
      </x:c>
      <x:c r="G22" s="21" t="s">
        <x:v>265</x:v>
      </x:c>
      <x:c r="H22" s="21" t="s">
        <x:v>86</x:v>
      </x:c>
      <x:c r="I22" s="21" t="s">
        <x:v>266</x:v>
      </x:c>
      <x:c r="J22" s="32">
        <x:v>46300</x:v>
      </x:c>
      <x:c r="K22" s="32">
        <x:v>46309</x:v>
      </x:c>
      <x:c r="L22" s="21" t="s">
        <x:v>77</x:v>
      </x:c>
      <x:c r="M22" s="21" t="s">
        <x:v>268</x:v>
      </x:c>
      <x:c r="N22" s="21" t="s">
        <x:v>378</x:v>
      </x:c>
    </x:row>
    <x:row r="23" ht="52" customHeight="1">
      <x:c r="A23" s="21" t="s">
        <x:v>269</x:v>
      </x:c>
      <x:c r="B23" s="21" t="s">
        <x:v>270</x:v>
      </x:c>
      <x:c r="C23" s="21" t="s">
        <x:v>271</x:v>
      </x:c>
      <x:c r="D23" s="21" t="s">
        <x:v>272</x:v>
      </x:c>
      <x:c r="E23" s="21" t="s">
        <x:v>83</x:v>
      </x:c>
      <x:c r="F23" s="21" t="s">
        <x:v>273</x:v>
      </x:c>
      <x:c r="G23" s="21" t="s">
        <x:v>274</x:v>
      </x:c>
      <x:c r="H23" s="21" t="s">
        <x:v>389</x:v>
      </x:c>
      <x:c r="I23" s="21" t="s">
        <x:v>61</x:v>
      </x:c>
      <x:c r="J23" s="32">
        <x:v>46312</x:v>
      </x:c>
      <x:c r="K23" s="32">
        <x:v>46311</x:v>
      </x:c>
      <x:c r="L23" s="21" t="s">
        <x:v>64</x:v>
      </x:c>
      <x:c r="M23" s="21" t="s">
        <x:v>390</x:v>
      </x:c>
      <x:c r="N23" s="21" t="s">
        <x:v>391</x:v>
      </x:c>
    </x:row>
    <x:row r="24" ht="52" customHeight="1">
      <x:c r="A24" s="21" t="s">
        <x:v>278</x:v>
      </x:c>
      <x:c r="B24" s="21" t="s">
        <x:v>279</x:v>
      </x:c>
      <x:c r="C24" s="21" t="s">
        <x:v>280</x:v>
      </x:c>
      <x:c r="D24" s="21" t="s">
        <x:v>281</x:v>
      </x:c>
      <x:c r="E24" s="21" t="s">
        <x:v>117</x:v>
      </x:c>
      <x:c r="F24" s="21" t="s">
        <x:v>282</x:v>
      </x:c>
      <x:c r="G24" s="21" t="s">
        <x:v>283</x:v>
      </x:c>
      <x:c r="H24" s="21" t="s">
        <x:v>97</x:v>
      </x:c>
      <x:c r="I24" s="21" t="s">
        <x:v>74</x:v>
      </x:c>
      <x:c r="J24" s="32">
        <x:v>46304</x:v>
      </x:c>
      <x:c r="K24" s="32">
        <x:v>46319</x:v>
      </x:c>
      <x:c r="L24" s="21" t="s">
        <x:v>77</x:v>
      </x:c>
      <x:c r="M24" s="21" t="s">
        <x:v>285</x:v>
      </x:c>
      <x:c r="N24" s="21" t="s">
        <x:v>377</x:v>
      </x:c>
    </x:row>
    <x:row r="25" ht="52" customHeight="1">
      <x:c r="A25" s="21" t="s">
        <x:v>286</x:v>
      </x:c>
      <x:c r="B25" s="21" t="s">
        <x:v>287</x:v>
      </x:c>
      <x:c r="C25" s="21" t="s">
        <x:v>288</x:v>
      </x:c>
      <x:c r="D25" s="21" t="s">
        <x:v>289</x:v>
      </x:c>
      <x:c r="E25" s="21" t="s">
        <x:v>290</x:v>
      </x:c>
      <x:c r="F25" s="21" t="s">
        <x:v>291</x:v>
      </x:c>
      <x:c r="G25" s="21" t="s">
        <x:v>292</x:v>
      </x:c>
      <x:c r="H25" s="21" t="s">
        <x:v>73</x:v>
      </x:c>
      <x:c r="I25" s="21" t="s">
        <x:v>87</x:v>
      </x:c>
      <x:c r="J25" s="32"/>
      <x:c r="K25" s="32">
        <x:v>46322</x:v>
      </x:c>
      <x:c r="L25" s="21" t="s">
        <x:v>64</x:v>
      </x:c>
      <x:c r="M25" s="21" t="s">
        <x:v>293</x:v>
      </x:c>
      <x:c r="N25" s="21" t="s">
        <x:v>377</x:v>
      </x:c>
    </x:row>
    <x:row r="26" ht="52" customHeight="1">
      <x:c r="A26" s="21" t="s">
        <x:v>294</x:v>
      </x:c>
      <x:c r="B26" s="21" t="s">
        <x:v>295</x:v>
      </x:c>
      <x:c r="C26" s="21" t="s">
        <x:v>296</x:v>
      </x:c>
      <x:c r="D26" s="21" t="s">
        <x:v>297</x:v>
      </x:c>
      <x:c r="E26" s="21" t="s">
        <x:v>298</x:v>
      </x:c>
      <x:c r="F26" s="21" t="s">
        <x:v>299</x:v>
      </x:c>
      <x:c r="G26" s="21" t="s">
        <x:v>300</x:v>
      </x:c>
      <x:c r="H26" s="21" t="s">
        <x:v>60</x:v>
      </x:c>
      <x:c r="I26" s="21" t="s">
        <x:v>301</x:v>
      </x:c>
      <x:c r="J26" s="32">
        <x:v>46311</x:v>
      </x:c>
      <x:c r="K26" s="32">
        <x:v>46318</x:v>
      </x:c>
      <x:c r="L26" s="21" t="s">
        <x:v>77</x:v>
      </x:c>
      <x:c r="M26" s="21" t="s">
        <x:v>302</x:v>
      </x:c>
      <x:c r="N26" s="21" t="s">
        <x:v>381</x:v>
      </x:c>
    </x:row>
    <x:row r="27" ht="52" customHeight="1">
      <x:c r="A27" s="21" t="s">
        <x:v>303</x:v>
      </x:c>
      <x:c r="B27" s="21" t="s">
        <x:v>304</x:v>
      </x:c>
      <x:c r="C27" s="21" t="s">
        <x:v>305</x:v>
      </x:c>
      <x:c r="D27" s="21" t="s">
        <x:v>306</x:v>
      </x:c>
      <x:c r="E27" s="21" t="s">
        <x:v>307</x:v>
      </x:c>
      <x:c r="F27" s="21" t="s">
        <x:v>308</x:v>
      </x:c>
      <x:c r="G27" s="21" t="s">
        <x:v>309</x:v>
      </x:c>
      <x:c r="H27" s="21" t="s">
        <x:v>86</x:v>
      </x:c>
      <x:c r="I27" s="21" t="s">
        <x:v>310</x:v>
      </x:c>
      <x:c r="J27" s="32">
        <x:v>46297</x:v>
      </x:c>
      <x:c r="K27" s="32"/>
      <x:c r="L27" s="21" t="s">
        <x:v>64</x:v>
      </x:c>
      <x:c r="M27" s="21" t="s">
        <x:v>312</x:v>
      </x:c>
      <x:c r="N27" s="21" t="s">
        <x:v>377</x:v>
      </x:c>
    </x:row>
    <x:row r="28" ht="52" customHeight="1">
      <x:c r="A28" s="21" t="s">
        <x:v>322</x:v>
      </x:c>
      <x:c r="B28" s="21" t="s">
        <x:v>323</x:v>
      </x:c>
      <x:c r="C28" s="21" t="s">
        <x:v>324</x:v>
      </x:c>
      <x:c r="D28" s="21" t="s">
        <x:v>325</x:v>
      </x:c>
      <x:c r="E28" s="21" t="s">
        <x:v>326</x:v>
      </x:c>
      <x:c r="F28" s="21"/>
      <x:c r="G28" s="21" t="s">
        <x:v>328</x:v>
      </x:c>
      <x:c r="H28" s="21" t="s">
        <x:v>97</x:v>
      </x:c>
      <x:c r="I28" s="21" t="s">
        <x:v>87</x:v>
      </x:c>
      <x:c r="J28" s="32"/>
      <x:c r="K28" s="32">
        <x:v>46324</x:v>
      </x:c>
      <x:c r="L28" s="21" t="s">
        <x:v>64</x:v>
      </x:c>
      <x:c r="M28" s="21" t="s">
        <x:v>392</x:v>
      </x:c>
      <x:c r="N28" s="21" t="s">
        <x:v>384</x:v>
      </x:c>
    </x:row>
    <x:row r="29" ht="52" customHeight="1">
      <x:c r="A29" s="21" t="s">
        <x:v>330</x:v>
      </x:c>
      <x:c r="B29" s="21" t="s">
        <x:v>331</x:v>
      </x:c>
      <x:c r="C29" s="21" t="s">
        <x:v>332</x:v>
      </x:c>
      <x:c r="D29" s="21" t="s">
        <x:v>333</x:v>
      </x:c>
      <x:c r="E29" s="21" t="s">
        <x:v>117</x:v>
      </x:c>
      <x:c r="F29" s="21" t="s">
        <x:v>334</x:v>
      </x:c>
      <x:c r="G29" s="21" t="s">
        <x:v>335</x:v>
      </x:c>
      <x:c r="H29" s="21" t="s">
        <x:v>60</x:v>
      </x:c>
      <x:c r="I29" s="21" t="s">
        <x:v>74</x:v>
      </x:c>
      <x:c r="J29" s="32">
        <x:v>46303</x:v>
      </x:c>
      <x:c r="K29" s="32">
        <x:v>46316</x:v>
      </x:c>
      <x:c r="L29" s="21"/>
      <x:c r="M29" s="21" t="s">
        <x:v>337</x:v>
      </x:c>
      <x:c r="N29" s="21" t="s">
        <x:v>393</x:v>
      </x:c>
    </x:row>
    <x:row r="30" ht="52" customHeight="1">
      <x:c r="A30" s="21" t="s">
        <x:v>343</x:v>
      </x:c>
      <x:c r="B30" s="21" t="s">
        <x:v>344</x:v>
      </x:c>
      <x:c r="C30" s="21" t="s">
        <x:v>345</x:v>
      </x:c>
      <x:c r="D30" s="21" t="s">
        <x:v>346</x:v>
      </x:c>
      <x:c r="E30" s="21" t="s">
        <x:v>298</x:v>
      </x:c>
      <x:c r="F30" s="21" t="s">
        <x:v>347</x:v>
      </x:c>
      <x:c r="G30" s="21" t="s">
        <x:v>348</x:v>
      </x:c>
      <x:c r="H30" s="21" t="s">
        <x:v>97</x:v>
      </x:c>
      <x:c r="I30" s="21" t="s">
        <x:v>61</x:v>
      </x:c>
      <x:c r="J30" s="32">
        <x:v>46308</x:v>
      </x:c>
      <x:c r="K30" s="32">
        <x:v>46317</x:v>
      </x:c>
      <x:c r="L30" s="21" t="s">
        <x:v>64</x:v>
      </x:c>
      <x:c r="M30" s="21" t="s">
        <x:v>349</x:v>
      </x:c>
      <x:c r="N30" s="21" t="s">
        <x:v>377</x:v>
      </x:c>
    </x:row>
    <x:row r="31" ht="52" customHeight="1">
      <x:c r="A31" s="21" t="s">
        <x:v>350</x:v>
      </x:c>
      <x:c r="B31" s="21" t="s">
        <x:v>351</x:v>
      </x:c>
      <x:c r="C31" s="21" t="s">
        <x:v>134</x:v>
      </x:c>
      <x:c r="D31" s="21" t="s">
        <x:v>352</x:v>
      </x:c>
      <x:c r="E31" s="21" t="s">
        <x:v>353</x:v>
      </x:c>
      <x:c r="F31" s="21" t="s">
        <x:v>354</x:v>
      </x:c>
      <x:c r="G31" s="21" t="s">
        <x:v>355</x:v>
      </x:c>
      <x:c r="H31" s="21" t="s">
        <x:v>60</x:v>
      </x:c>
      <x:c r="I31" s="21" t="s">
        <x:v>74</x:v>
      </x:c>
      <x:c r="J31" s="32">
        <x:v>46305</x:v>
      </x:c>
      <x:c r="K31" s="32">
        <x:v>46312</x:v>
      </x:c>
      <x:c r="L31" s="21" t="s">
        <x:v>77</x:v>
      </x:c>
      <x:c r="M31" s="21" t="s">
        <x:v>356</x:v>
      </x:c>
      <x:c r="N31" s="21" t="s">
        <x:v>378</x:v>
      </x:c>
    </x:row>
    <x:row r="32" ht="52" customHeight="1">
      <x:c r="A32" s="21" t="s">
        <x:v>357</x:v>
      </x:c>
      <x:c r="B32" s="21" t="s">
        <x:v>358</x:v>
      </x:c>
      <x:c r="C32" s="21" t="s">
        <x:v>359</x:v>
      </x:c>
      <x:c r="D32" s="21" t="s">
        <x:v>360</x:v>
      </x:c>
      <x:c r="E32" s="21" t="s">
        <x:v>361</x:v>
      </x:c>
      <x:c r="F32" s="21" t="s">
        <x:v>362</x:v>
      </x:c>
      <x:c r="G32" s="21" t="s">
        <x:v>363</x:v>
      </x:c>
      <x:c r="H32" s="21" t="s">
        <x:v>73</x:v>
      </x:c>
      <x:c r="I32" s="21" t="s">
        <x:v>364</x:v>
      </x:c>
      <x:c r="J32" s="32">
        <x:v>46309</x:v>
      </x:c>
      <x:c r="K32" s="32">
        <x:v>46321</x:v>
      </x:c>
      <x:c r="L32" s="21" t="s">
        <x:v>64</x:v>
      </x:c>
      <x:c r="M32" s="21" t="s">
        <x:v>365</x:v>
      </x:c>
      <x:c r="N32" s="21" t="s">
        <x:v>381</x:v>
      </x:c>
    </x:row>
    <x:row r="33" ht="52" customHeight="1">
      <x:c r="A33" s="21" t="s">
        <x:v>366</x:v>
      </x:c>
      <x:c r="B33" s="21" t="s">
        <x:v>367</x:v>
      </x:c>
      <x:c r="C33" s="21" t="s">
        <x:v>368</x:v>
      </x:c>
      <x:c r="D33" s="21" t="s">
        <x:v>369</x:v>
      </x:c>
      <x:c r="E33" s="21" t="s">
        <x:v>370</x:v>
      </x:c>
      <x:c r="F33" s="21" t="s">
        <x:v>371</x:v>
      </x:c>
      <x:c r="G33" s="21" t="s">
        <x:v>372</x:v>
      </x:c>
      <x:c r="H33" s="21" t="s">
        <x:v>60</x:v>
      </x:c>
      <x:c r="I33" s="21" t="s">
        <x:v>74</x:v>
      </x:c>
      <x:c r="J33" s="32">
        <x:v>46313</x:v>
      </x:c>
      <x:c r="K33" s="32">
        <x:v>46317</x:v>
      </x:c>
      <x:c r="L33" s="21" t="s">
        <x:v>77</x:v>
      </x:c>
      <x:c r="M33" s="21" t="s">
        <x:v>374</x:v>
      </x:c>
      <x:c r="N33" s="21" t="s">
        <x:v>377</x:v>
      </x:c>
    </x:row>
  </x:sheetData>
  <x:dataValidations count="2">
    <x:dataValidation type="list" sqref="N2:N33">
      <x:formula1>"Ready,Needs Review,Possible Duplicate,Missing Detail"</x:formula1>
    </x:dataValidation>
    <x:dataValidation type="list" sqref="I2:I33">
      <x:formula1>"New,Contacted,Qualified,Proposal Sent,Won,Lost,Needs Review"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10.670000076293945" hidden="0" customWidth="1"/>
    <x:col min="2" max="2" width="20" hidden="0" customWidth="1"/>
    <x:col min="3" max="3" width="18.889999389648438" hidden="0" customWidth="1"/>
    <x:col min="4" max="4" width="45.560001373291016" hidden="0" customWidth="1"/>
    <x:col min="5" max="5" width="52.220001220703125" hidden="0" customWidth="1"/>
    <x:col min="6" max="6" width="18.889999389648438" hidden="0" customWidth="1"/>
    <x:col min="7" max="7" width="12.220000267028809" hidden="0" customWidth="1"/>
  </x:cols>
  <x:sheetData>
    <x:row r="1" ht="34" customHeight="1">
      <x:c r="A1" s="23" t="s">
        <x:v>394</x:v>
      </x:c>
      <x:c r="B1" s="23" t="s">
        <x:v>395</x:v>
      </x:c>
      <x:c r="C1" s="23" t="s">
        <x:v>396</x:v>
      </x:c>
      <x:c r="D1" s="23" t="s">
        <x:v>397</x:v>
      </x:c>
      <x:c r="E1" s="23" t="s">
        <x:v>398</x:v>
      </x:c>
      <x:c r="F1" s="23" t="s">
        <x:v>399</x:v>
      </x:c>
      <x:c r="G1" s="23" t="s">
        <x:v>400</x:v>
      </x:c>
    </x:row>
    <x:row r="2" ht="84" customHeight="1">
      <x:c r="A2" s="21" t="s">
        <x:v>401</x:v>
      </x:c>
      <x:c r="B2" s="21" t="s">
        <x:v>402</x:v>
      </x:c>
      <x:c r="C2" s="21" t="s">
        <x:v>403</x:v>
      </x:c>
      <x:c r="D2" s="21" t="s">
        <x:v>404</x:v>
      </x:c>
      <x:c r="E2" s="21" t="s">
        <x:v>405</x:v>
      </x:c>
      <x:c r="F2" s="21" t="s">
        <x:v>406</x:v>
      </x:c>
      <x:c r="G2" s="21" t="s">
        <x:v>407</x:v>
      </x:c>
    </x:row>
    <x:row r="3" ht="84" customHeight="1">
      <x:c r="A3" s="21" t="s">
        <x:v>408</x:v>
      </x:c>
      <x:c r="B3" s="21" t="s">
        <x:v>409</x:v>
      </x:c>
      <x:c r="C3" s="21" t="s">
        <x:v>403</x:v>
      </x:c>
      <x:c r="D3" s="21" t="s">
        <x:v>410</x:v>
      </x:c>
      <x:c r="E3" s="21" t="s">
        <x:v>411</x:v>
      </x:c>
      <x:c r="F3" s="21" t="s">
        <x:v>406</x:v>
      </x:c>
      <x:c r="G3" s="21" t="s">
        <x:v>407</x:v>
      </x:c>
    </x:row>
    <x:row r="4" ht="84" customHeight="1">
      <x:c r="A4" s="21" t="s">
        <x:v>412</x:v>
      </x:c>
      <x:c r="B4" s="21" t="s">
        <x:v>413</x:v>
      </x:c>
      <x:c r="C4" s="21" t="s">
        <x:v>403</x:v>
      </x:c>
      <x:c r="D4" s="21" t="s">
        <x:v>414</x:v>
      </x:c>
      <x:c r="E4" s="21" t="s">
        <x:v>415</x:v>
      </x:c>
      <x:c r="F4" s="21" t="s">
        <x:v>406</x:v>
      </x:c>
      <x:c r="G4" s="21" t="s">
        <x:v>407</x:v>
      </x:c>
    </x:row>
    <x:row r="5" ht="84" customHeight="1">
      <x:c r="A5" s="21" t="s">
        <x:v>416</x:v>
      </x:c>
      <x:c r="B5" s="21" t="s">
        <x:v>417</x:v>
      </x:c>
      <x:c r="C5" s="21" t="s">
        <x:v>403</x:v>
      </x:c>
      <x:c r="D5" s="21" t="s">
        <x:v>418</x:v>
      </x:c>
      <x:c r="E5" s="21" t="s">
        <x:v>419</x:v>
      </x:c>
      <x:c r="F5" s="21" t="s">
        <x:v>406</x:v>
      </x:c>
      <x:c r="G5" s="21" t="s">
        <x:v>407</x:v>
      </x:c>
    </x:row>
    <x:row r="6" ht="84" customHeight="1">
      <x:c r="A6" s="21" t="s">
        <x:v>420</x:v>
      </x:c>
      <x:c r="B6" s="21" t="s">
        <x:v>421</x:v>
      </x:c>
      <x:c r="C6" s="21" t="s">
        <x:v>422</x:v>
      </x:c>
      <x:c r="D6" s="21" t="s">
        <x:v>423</x:v>
      </x:c>
      <x:c r="E6" s="21" t="s">
        <x:v>424</x:v>
      </x:c>
      <x:c r="F6" s="21" t="s">
        <x:v>425</x:v>
      </x:c>
      <x:c r="G6" s="21" t="s">
        <x:v>426</x:v>
      </x:c>
    </x:row>
    <x:row r="7" ht="84" customHeight="1">
      <x:c r="A7" s="21" t="s">
        <x:v>427</x:v>
      </x:c>
      <x:c r="B7" s="21" t="s">
        <x:v>225</x:v>
      </x:c>
      <x:c r="C7" s="21" t="s">
        <x:v>428</x:v>
      </x:c>
      <x:c r="D7" s="21" t="s">
        <x:v>429</x:v>
      </x:c>
      <x:c r="E7" s="21" t="s">
        <x:v>430</x:v>
      </x:c>
      <x:c r="F7" s="21" t="s">
        <x:v>425</x:v>
      </x:c>
      <x:c r="G7" s="21" t="s">
        <x:v>426</x:v>
      </x:c>
    </x:row>
    <x:row r="8" ht="84" customHeight="1">
      <x:c r="A8" s="21" t="s">
        <x:v>431</x:v>
      </x:c>
      <x:c r="B8" s="21" t="s">
        <x:v>269</x:v>
      </x:c>
      <x:c r="C8" s="21" t="s">
        <x:v>432</x:v>
      </x:c>
      <x:c r="D8" s="21" t="s">
        <x:v>433</x:v>
      </x:c>
      <x:c r="E8" s="21" t="s">
        <x:v>434</x:v>
      </x:c>
      <x:c r="F8" s="21" t="s">
        <x:v>425</x:v>
      </x:c>
      <x:c r="G8" s="21" t="s">
        <x:v>426</x:v>
      </x:c>
    </x:row>
    <x:row r="9" ht="84" customHeight="1">
      <x:c r="A9" s="21" t="s">
        <x:v>435</x:v>
      </x:c>
      <x:c r="B9" s="21" t="s">
        <x:v>357</x:v>
      </x:c>
      <x:c r="C9" s="21" t="s">
        <x:v>436</x:v>
      </x:c>
      <x:c r="D9" s="21" t="s">
        <x:v>437</x:v>
      </x:c>
      <x:c r="E9" s="21" t="s">
        <x:v>438</x:v>
      </x:c>
      <x:c r="F9" s="21" t="s">
        <x:v>425</x:v>
      </x:c>
      <x:c r="G9" s="21" t="s">
        <x:v>426</x:v>
      </x:c>
    </x:row>
    <x:row r="10" ht="84" customHeight="1">
      <x:c r="A10" s="21" t="s">
        <x:v>439</x:v>
      </x:c>
      <x:c r="B10" s="21" t="s">
        <x:v>141</x:v>
      </x:c>
      <x:c r="C10" s="21" t="s">
        <x:v>440</x:v>
      </x:c>
      <x:c r="D10" s="21" t="s">
        <x:v>441</x:v>
      </x:c>
      <x:c r="E10" s="21" t="s">
        <x:v>442</x:v>
      </x:c>
      <x:c r="F10" s="21" t="s">
        <x:v>425</x:v>
      </x:c>
      <x:c r="G10" s="21" t="s">
        <x:v>426</x:v>
      </x:c>
    </x:row>
    <x:row r="11" ht="84" customHeight="1">
      <x:c r="A11" s="21" t="s">
        <x:v>443</x:v>
      </x:c>
      <x:c r="B11" s="21" t="s">
        <x:v>322</x:v>
      </x:c>
      <x:c r="C11" s="21" t="s">
        <x:v>428</x:v>
      </x:c>
      <x:c r="D11" s="21" t="s">
        <x:v>444</x:v>
      </x:c>
      <x:c r="E11" s="21" t="s">
        <x:v>445</x:v>
      </x:c>
      <x:c r="F11" s="21" t="s">
        <x:v>425</x:v>
      </x:c>
      <x:c r="G11" s="21" t="s">
        <x:v>426</x:v>
      </x:c>
    </x:row>
    <x:row r="12" ht="84" customHeight="1">
      <x:c r="A12" s="21" t="s">
        <x:v>446</x:v>
      </x:c>
      <x:c r="B12" s="21" t="s">
        <x:v>330</x:v>
      </x:c>
      <x:c r="C12" s="21" t="s">
        <x:v>447</x:v>
      </x:c>
      <x:c r="D12" s="21" t="s">
        <x:v>448</x:v>
      </x:c>
      <x:c r="E12" s="21" t="s">
        <x:v>449</x:v>
      </x:c>
      <x:c r="F12" s="21" t="s">
        <x:v>425</x:v>
      </x:c>
      <x:c r="G12" s="21" t="s">
        <x:v>426</x:v>
      </x:c>
    </x:row>
    <x:row r="13" ht="84" customHeight="1">
      <x:c r="A13" s="21" t="s">
        <x:v>450</x:v>
      </x:c>
      <x:c r="B13" s="21" t="s">
        <x:v>205</x:v>
      </x:c>
      <x:c r="C13" s="21" t="s">
        <x:v>436</x:v>
      </x:c>
      <x:c r="D13" s="21" t="s">
        <x:v>451</x:v>
      </x:c>
      <x:c r="E13" s="21" t="s">
        <x:v>452</x:v>
      </x:c>
      <x:c r="F13" s="21" t="s">
        <x:v>425</x:v>
      </x:c>
      <x:c r="G13" s="21" t="s">
        <x:v>426</x:v>
      </x:c>
    </x:row>
    <x:row r="14" ht="84" customHeight="1">
      <x:c r="A14" s="21" t="s">
        <x:v>453</x:v>
      </x:c>
      <x:c r="B14" s="21" t="s">
        <x:v>294</x:v>
      </x:c>
      <x:c r="C14" s="21" t="s">
        <x:v>436</x:v>
      </x:c>
      <x:c r="D14" s="21" t="s">
        <x:v>454</x:v>
      </x:c>
      <x:c r="E14" s="21" t="s">
        <x:v>455</x:v>
      </x:c>
      <x:c r="F14" s="21" t="s">
        <x:v>425</x:v>
      </x:c>
      <x:c r="G14" s="21" t="s">
        <x:v>426</x:v>
      </x:c>
    </x:row>
    <x:row r="15" ht="84" customHeight="1">
      <x:c r="A15" s="21" t="s">
        <x:v>456</x:v>
      </x:c>
      <x:c r="B15" s="21" t="s">
        <x:v>457</x:v>
      </x:c>
      <x:c r="C15" s="21" t="s">
        <x:v>458</x:v>
      </x:c>
      <x:c r="D15" s="21" t="s">
        <x:v>459</x:v>
      </x:c>
      <x:c r="E15" s="21" t="s">
        <x:v>460</x:v>
      </x:c>
      <x:c r="F15" s="21" t="s">
        <x:v>461</x:v>
      </x:c>
      <x:c r="G15" s="21" t="s">
        <x:v>426</x:v>
      </x:c>
    </x:row>
    <x:row r="16" ht="84" customHeight="1">
      <x:c r="A16" s="21" t="s">
        <x:v>462</x:v>
      </x:c>
      <x:c r="B16" s="21" t="s">
        <x:v>463</x:v>
      </x:c>
      <x:c r="C16" s="21" t="s">
        <x:v>464</x:v>
      </x:c>
      <x:c r="D16" s="21" t="s">
        <x:v>465</x:v>
      </x:c>
      <x:c r="E16" s="21" t="s">
        <x:v>466</x:v>
      </x:c>
      <x:c r="F16" s="21" t="s">
        <x:v>467</x:v>
      </x:c>
      <x:c r="G16" s="21" t="s">
        <x:v>407</x:v>
      </x:c>
    </x:row>
    <x:row r="17" ht="84" customHeight="1">
      <x:c r="A17" s="21" t="s">
        <x:v>468</x:v>
      </x:c>
      <x:c r="B17" s="21" t="s">
        <x:v>278</x:v>
      </x:c>
      <x:c r="C17" s="21" t="s">
        <x:v>464</x:v>
      </x:c>
      <x:c r="D17" s="21" t="s">
        <x:v>469</x:v>
      </x:c>
      <x:c r="E17" s="21" t="s">
        <x:v>470</x:v>
      </x:c>
      <x:c r="F17" s="21" t="s">
        <x:v>467</x:v>
      </x:c>
      <x:c r="G17" s="21" t="s">
        <x:v>407</x:v>
      </x:c>
    </x:row>
    <x:row r="18" ht="24" customHeight="1">
      <x:c r="A18" s="3"/>
      <x:c r="B18" s="3"/>
      <x:c r="C18" s="3"/>
      <x:c r="D18" s="3"/>
      <x:c r="E18" s="3"/>
      <x:c r="F18" s="3"/>
      <x:c r="G18" s="3"/>
    </x:row>
    <x:row r="19" ht="24" customHeight="1">
      <x:c r="A19" s="3"/>
      <x:c r="B19" s="3"/>
      <x:c r="C19" s="3"/>
      <x:c r="D19" s="3"/>
      <x:c r="E19" s="3"/>
      <x:c r="F19" s="3"/>
      <x:c r="G19" s="3"/>
    </x:row>
    <x:row r="20" ht="24" customHeight="1">
      <x:c r="A20" s="3"/>
      <x:c r="B20" s="3"/>
      <x:c r="C20" s="3"/>
      <x:c r="D20" s="3"/>
      <x:c r="E20" s="3"/>
      <x:c r="F20" s="3"/>
      <x:c r="G20" s="3"/>
    </x:row>
    <x:row r="21" ht="24" customHeight="1">
      <x:c r="A21" s="3"/>
      <x:c r="B21" s="3"/>
      <x:c r="C21" s="3"/>
      <x:c r="D21" s="3"/>
      <x:c r="E21" s="3"/>
      <x:c r="F21" s="3"/>
      <x:c r="G21" s="3"/>
    </x:row>
    <x:row r="22" ht="24" customHeight="1">
      <x:c r="A22" s="3"/>
      <x:c r="B22" s="3"/>
      <x:c r="C22" s="3"/>
      <x:c r="D22" s="3"/>
      <x:c r="E22" s="3"/>
      <x:c r="F22" s="3"/>
      <x:c r="G22" s="3"/>
    </x:row>
    <x:row r="23" ht="24" customHeight="1">
      <x:c r="A23" s="3"/>
      <x:c r="B23" s="3"/>
      <x:c r="C23" s="3"/>
      <x:c r="D23" s="3"/>
      <x:c r="E23" s="3"/>
      <x:c r="F23" s="3"/>
      <x:c r="G23" s="3"/>
    </x:row>
    <x:row r="24" ht="24" customHeight="1">
      <x:c r="A24" s="3"/>
      <x:c r="B24" s="3"/>
      <x:c r="C24" s="3"/>
      <x:c r="D24" s="3"/>
      <x:c r="E24" s="3"/>
      <x:c r="F24" s="3"/>
      <x:c r="G24" s="3"/>
    </x:row>
    <x:row r="25" ht="24" customHeight="1">
      <x:c r="A25" s="3"/>
      <x:c r="B25" s="3"/>
      <x:c r="C25" s="3"/>
      <x:c r="D25" s="3"/>
      <x:c r="E25" s="3"/>
      <x:c r="F25" s="3"/>
      <x:c r="G25" s="3"/>
    </x:row>
    <x:row r="26" ht="24" customHeight="1">
      <x:c r="A26" s="3"/>
      <x:c r="B26" s="3"/>
      <x:c r="C26" s="3"/>
      <x:c r="D26" s="3"/>
      <x:c r="E26" s="3"/>
      <x:c r="F26" s="3"/>
      <x:c r="G26" s="3"/>
    </x:row>
    <x:row r="27" ht="24" customHeight="1">
      <x:c r="A27" s="3"/>
      <x:c r="B27" s="3"/>
      <x:c r="C27" s="3"/>
      <x:c r="D27" s="3"/>
      <x:c r="E27" s="3"/>
      <x:c r="F27" s="3"/>
      <x:c r="G27" s="3"/>
    </x:row>
    <x:row r="28" ht="24" customHeight="1">
      <x:c r="A28" s="3"/>
      <x:c r="B28" s="3"/>
      <x:c r="C28" s="3"/>
      <x:c r="D28" s="3"/>
      <x:c r="E28" s="3"/>
      <x:c r="F28" s="3"/>
      <x:c r="G28" s="3"/>
    </x:row>
    <x:row r="29" ht="24" customHeight="1">
      <x:c r="A29" s="3"/>
      <x:c r="B29" s="3"/>
      <x:c r="C29" s="3"/>
      <x:c r="D29" s="3"/>
      <x:c r="E29" s="3"/>
      <x:c r="F29" s="3"/>
      <x:c r="G29" s="3"/>
    </x:row>
    <x:row r="30" ht="24" customHeight="1">
      <x:c r="A30" s="3"/>
      <x:c r="B30" s="3"/>
      <x:c r="C30" s="3"/>
      <x:c r="D30" s="3"/>
      <x:c r="E30" s="3"/>
      <x:c r="F30" s="3"/>
      <x:c r="G30" s="3"/>
    </x:row>
    <x:row r="31" ht="24" customHeight="1">
      <x:c r="A31" s="3"/>
      <x:c r="B31" s="3"/>
      <x:c r="C31" s="3"/>
      <x:c r="D31" s="3"/>
      <x:c r="E31" s="3"/>
      <x:c r="F31" s="3"/>
      <x:c r="G31" s="3"/>
    </x:row>
    <x:row r="32" ht="24" customHeight="1">
      <x:c r="A32" s="3"/>
      <x:c r="B32" s="3"/>
      <x:c r="C32" s="3"/>
      <x:c r="D32" s="3"/>
      <x:c r="E32" s="3"/>
      <x:c r="F32" s="3"/>
      <x:c r="G32" s="3"/>
    </x:row>
    <x:row r="33" ht="24" customHeight="1">
      <x:c r="A33" s="3"/>
      <x:c r="B33" s="3"/>
      <x:c r="C33" s="3"/>
      <x:c r="D33" s="3"/>
      <x:c r="E33" s="3"/>
      <x:c r="F33" s="3"/>
      <x:c r="G33" s="3"/>
    </x:row>
    <x:row r="34" ht="24" customHeight="1">
      <x:c r="A34" s="3"/>
      <x:c r="B34" s="3"/>
      <x:c r="C34" s="3"/>
      <x:c r="D34" s="3"/>
      <x:c r="E34" s="3"/>
      <x:c r="F34" s="3"/>
      <x:c r="G34" s="3"/>
    </x:row>
    <x:row r="35" ht="24" customHeight="1">
      <x:c r="A35" s="3"/>
      <x:c r="B35" s="3"/>
      <x:c r="C35" s="3"/>
      <x:c r="D35" s="3"/>
      <x:c r="E35" s="3"/>
      <x:c r="F35" s="3"/>
      <x:c r="G35" s="3"/>
    </x:row>
    <x:row r="36" ht="24" customHeight="1">
      <x:c r="A36" s="3"/>
      <x:c r="B36" s="3"/>
      <x:c r="C36" s="3"/>
      <x:c r="D36" s="3"/>
      <x:c r="E36" s="3"/>
      <x:c r="F36" s="3"/>
      <x:c r="G36" s="3"/>
    </x:row>
    <x:row r="37" ht="24" customHeight="1">
      <x:c r="A37" s="3"/>
      <x:c r="B37" s="3"/>
      <x:c r="C37" s="3"/>
      <x:c r="D37" s="3"/>
      <x:c r="E37" s="3"/>
      <x:c r="F37" s="3"/>
      <x:c r="G37" s="3"/>
    </x:row>
    <x:row r="38" ht="24" customHeight="1">
      <x:c r="A38" s="3"/>
      <x:c r="B38" s="3"/>
      <x:c r="C38" s="3"/>
      <x:c r="D38" s="3"/>
      <x:c r="E38" s="3"/>
      <x:c r="F38" s="3"/>
      <x:c r="G38" s="3"/>
    </x:row>
    <x:row r="39" ht="24" customHeight="1">
      <x:c r="A39" s="3"/>
      <x:c r="B39" s="3"/>
      <x:c r="C39" s="3"/>
      <x:c r="D39" s="3"/>
      <x:c r="E39" s="3"/>
      <x:c r="F39" s="3"/>
      <x:c r="G39" s="3"/>
    </x:row>
    <x:row r="40" ht="24" customHeight="1">
      <x:c r="A40" s="3"/>
      <x:c r="B40" s="3"/>
      <x:c r="C40" s="3"/>
      <x:c r="D40" s="3"/>
      <x:c r="E40" s="3"/>
      <x:c r="F40" s="3"/>
      <x:c r="G40" s="3"/>
    </x:row>
  </x:sheetData>
  <x:conditionalFormatting sqref="B2:B2">
    <x:cfRule type="duplicateValues" dxfId="6" priority="3"/>
  </x:conditionalFormatting>
  <x:conditionalFormatting sqref="D8:D8">
    <x:cfRule type="duplicateValues" dxfId="5" priority="2"/>
  </x:conditionalFormatting>
  <x:conditionalFormatting sqref="D9:D9">
    <x:cfRule type="duplicateValues" dxfId="4" priority="1"/>
  </x:conditionalFormatting>
  <x:conditionalFormatting sqref="G2:G100">
    <x:cfRule type="expression" dxfId="3" priority="4">
      <x:formula>$G2="Yes"</x:formula>
    </x:cfRule>
  </x:conditionalFormatting>
  <x:dataValidations count="5">
    <x:dataValidation type="list" sqref="C2:C40">
      <x:formula1>"Possible Duplicate,Missing Email,Invalid Email,Missing Owner,Inconsistent Format,Unclear Status,Invalid Date,Conflicting Information,Other"</x:formula1>
    </x:dataValidation>
    <x:dataValidation type="list" sqref="F2:F40">
      <x:formula1>"Fixed,Flagged for Review,Merged,No Change"</x:formula1>
    </x:dataValidation>
    <x:dataValidation type="list" sqref="G2:G200">
      <x:formula1>"Yes,No"</x:formula1>
    </x:dataValidation>
    <x:dataValidation type="list" sqref="C2:C200">
      <x:formula1>"Possible Duplicate,Conflicting Information,Invalid Email,Invalid Date,Unclear Status,Missing Email,Missing Owner,Overdue Follow-up,Formatting"</x:formula1>
    </x:dataValidation>
    <x:dataValidation type="list" sqref="F2:F200">
      <x:formula1>"Merged,Needs Verification,Needs Follow-up,Corrected"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10.4399995803833" hidden="0" customWidth="1"/>
    <x:col min="2" max="2" width="16.670000076293945" hidden="0" customWidth="1"/>
    <x:col min="3" max="3" width="21.110000610351562" hidden="0" customWidth="1"/>
    <x:col min="4" max="4" width="13.890000343322754" hidden="0" customWidth="1"/>
    <x:col min="5" max="5" width="12.779999732971191" hidden="0" customWidth="1"/>
    <x:col min="6" max="6" width="12.779999732971191" hidden="0" customWidth="1"/>
    <x:col min="7" max="7" width="10.5600004196167" hidden="0" customWidth="1"/>
    <x:col min="8" max="8" width="21.110000610351562" hidden="0" customWidth="1"/>
    <x:col min="9" max="9" width="16.110000610351562" hidden="0" customWidth="1"/>
    <x:col min="10" max="10" width="48.88999938964844" hidden="0" customWidth="1"/>
  </x:cols>
  <x:sheetData>
    <x:row r="1" ht="34" customHeight="1">
      <x:c r="A1" s="23" t="s">
        <x:v>40</x:v>
      </x:c>
      <x:c r="B1" s="23" t="s">
        <x:v>471</x:v>
      </x:c>
      <x:c r="C1" s="23" t="s">
        <x:v>43</x:v>
      </x:c>
      <x:c r="D1" s="23" t="s">
        <x:v>48</x:v>
      </x:c>
      <x:c r="E1" s="23" t="s">
        <x:v>49</x:v>
      </x:c>
      <x:c r="F1" s="23" t="s">
        <x:v>472</x:v>
      </x:c>
      <x:c r="G1" s="23" t="s">
        <x:v>173</x:v>
      </x:c>
      <x:c r="H1" s="23" t="s">
        <x:v>473</x:v>
      </x:c>
      <x:c r="I1" s="23" t="s">
        <x:v>474</x:v>
      </x:c>
      <x:c r="J1" s="23" t="s">
        <x:v>52</x:v>
      </x:c>
    </x:row>
    <x:row r="2" ht="92" customHeight="1">
      <x:c r="A2" s="21" t="str">
        <x:v>CRM-006</x:v>
      </x:c>
      <x:c r="B2" s="21" t="str">
        <x:v>Francis Tan</x:v>
      </x:c>
      <x:c r="C2" s="21" t="str">
        <x:v>Lumen Procurement</x:v>
      </x:c>
      <x:c r="D2" s="21" t="str">
        <x:v>Qualified</x:v>
      </x:c>
      <x:c r="E2" s="33" t="d">
        <x:v>2026-10-14T00:00:00.000Z</x:v>
      </x:c>
      <x:c r="F2" s="33" t="d">
        <x:v>2026-10-22T00:00:00.000Z</x:v>
      </x:c>
      <x:c r="G2" s="21" t="str">
        <x:v>Noel</x:v>
      </x:c>
      <x:c r="H2" s="21" t="str">
        <x:v>Review pricing details</x:v>
      </x:c>
      <x:c r="I2" s="21" t="str">
        <x:v>Not Started</x:v>
      </x:c>
      <x:c r="J2" s="21" t="str">
        <x:v>Francis requested pricing details. Check the approved pricing information before preparing a response. Follow-up is due October 22, based on the original CRM record.</x:v>
      </x:c>
    </x:row>
    <x:row r="3" ht="92" customHeight="1">
      <x:c r="A3" s="21" t="str">
        <x:v>CRM-010</x:v>
      </x:c>
      <x:c r="B3" s="21" t="str">
        <x:v>Jonas Garcia</x:v>
      </x:c>
      <x:c r="C3" s="21" t="str">
        <x:v>Summitline Digital</x:v>
      </x:c>
      <x:c r="D3" s="21" t="str">
        <x:v>Qualified</x:v>
      </x:c>
      <x:c r="E3" s="33" t="d">
        <x:v>2026-10-15T00:00:00.000Z</x:v>
      </x:c>
      <x:c r="F3" s="33" t="d">
        <x:v>2026-10-21T00:00:00.000Z</x:v>
      </x:c>
      <x:c r="G3" s="21" t="str">
        <x:v>Noel</x:v>
      </x:c>
      <x:c r="H3" s="21" t="str">
        <x:v>Review draft timeline</x:v>
      </x:c>
      <x:c r="I3" s="21" t="str">
        <x:v>Not Started</x:v>
      </x:c>
      <x:c r="J3" s="21" t="str">
        <x:v>Jonas requested a draft timeline. Check the project details and prepare the timeline for review before sending anything.</x:v>
      </x:c>
    </x:row>
    <x:row r="4" ht="92" customHeight="1">
      <x:c r="A4" s="21" t="str">
        <x:v>CRM-019</x:v>
      </x:c>
      <x:c r="B4" s="21" t="str">
        <x:v>Rina Flores</x:v>
      </x:c>
      <x:c r="C4" s="21" t="str">
        <x:v>Horizon Collective</x:v>
      </x:c>
      <x:c r="D4" s="21" t="str">
        <x:v>Qualified</x:v>
      </x:c>
      <x:c r="E4" s="33" t="d">
        <x:v>2026-10-16T00:00:00.000Z</x:v>
      </x:c>
      <x:c r="F4" s="33" t="d">
        <x:v>2026-10-22T00:00:00.000Z</x:v>
      </x:c>
      <x:c r="G4" s="21" t="str">
        <x:v>Mika</x:v>
      </x:c>
      <x:c r="H4" s="21" t="str">
        <x:v>Arrange meeting</x:v>
      </x:c>
      <x:c r="I4" s="21" t="str">
        <x:v>Not Started</x:v>
      </x:c>
      <x:c r="J4" s="21" t="str">
        <x:v>Rina requested a meeting. Check available times and prepare a scheduling response.</x:v>
      </x:c>
    </x:row>
    <x:row r="5" ht="92" customHeight="1">
      <x:c r="A5" s="21" t="str">
        <x:v>CRM-003</x:v>
      </x:c>
      <x:c r="B5" s="21" t="str">
        <x:v>Camille Reyes</x:v>
      </x:c>
      <x:c r="C5" s="21" t="str">
        <x:v>Pine &amp; Co.</x:v>
      </x:c>
      <x:c r="D5" s="21" t="str">
        <x:v>New</x:v>
      </x:c>
      <x:c r="E5" s="33" t="str">
        <x:v>Not recorded</x:v>
      </x:c>
      <x:c r="F5" s="33" t="d">
        <x:v>2026-10-23T00:00:00.000Z</x:v>
      </x:c>
      <x:c r="G5" s="21" t="str">
        <x:v>Mika</x:v>
      </x:c>
      <x:c r="H5" s="21" t="str">
        <x:v>Prepare first follow-up</x:v>
      </x:c>
      <x:c r="I5" s="21" t="str">
        <x:v>Not Started</x:v>
      </x:c>
      <x:c r="J5" s="21" t="str">
        <x:v>Met at a networking event. Review the contact details and prepare an appropriate first follow-up.</x:v>
      </x:c>
    </x:row>
    <x:row r="6" ht="24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</x:row>
    <x:row r="7" ht="24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</x:row>
    <x:row r="8" ht="24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</x:row>
    <x:row r="9" ht="24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</x:row>
    <x:row r="10" ht="24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</x:row>
    <x:row r="11" ht="24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</x:row>
    <x:row r="12" ht="24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</x:row>
    <x:row r="13" ht="24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</x:row>
    <x:row r="14" ht="24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</x:row>
    <x:row r="15" ht="24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</x:row>
    <x:row r="16" ht="24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</x:row>
    <x:row r="17" ht="24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</x:row>
    <x:row r="18" ht="24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</x:row>
    <x:row r="19" ht="24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</x:row>
    <x:row r="20" ht="24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</x:row>
    <x:row r="21" ht="24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</x:row>
    <x:row r="22" ht="24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</x:row>
    <x:row r="23" ht="24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</x:row>
    <x:row r="24" ht="24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</x:row>
    <x:row r="25" ht="24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</x:row>
    <x:row r="26" ht="24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</x:row>
    <x:row r="27" ht="24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</x:row>
    <x:row r="28" ht="24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</x:row>
    <x:row r="29" ht="24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</x:row>
    <x:row r="30" ht="24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</x:row>
    <x:row r="31" ht="24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</x:row>
    <x:row r="32" ht="24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</x:row>
    <x:row r="33" ht="24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</x:row>
    <x:row r="34" ht="24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</x:row>
    <x:row r="35" ht="24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</x:row>
    <x:row r="36" ht="24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</x:row>
    <x:row r="37" ht="24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</x:row>
    <x:row r="38" ht="24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</x:row>
    <x:row r="39" ht="24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</x:row>
    <x:row r="40" ht="24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</x:row>
    <x:row r="41" ht="24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</x:row>
    <x:row r="42" ht="24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</x:row>
    <x:row r="43" ht="24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</x:row>
    <x:row r="44" ht="24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</x:row>
    <x:row r="45" ht="24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</x:row>
  </x:sheetData>
  <x:dataValidations count="1">
    <x:dataValidation type="list" sqref="I2:I45">
      <x:formula1>"Overdue,Due Today,Upcoming,Waiting for Reply,Needs Review,Done"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.110000610351562" hidden="0" customWidth="1"/>
    <x:col min="2" max="4" width="17" customWidth="1"/>
    <x:col min="5" max="5" width="16.110000610351562" hidden="0" customWidth="1"/>
    <x:col min="6" max="6" width="16.110000610351562" hidden="0" customWidth="1"/>
    <x:col min="2" max="2" width="16.110000610351562" hidden="0" customWidth="1"/>
    <x:col min="3" max="3" width="16.110000610351562" hidden="0" customWidth="1"/>
    <x:col min="4" max="4" width="16.110000610351562" hidden="0" customWidth="1"/>
  </x:cols>
  <x:sheetData>
    <x:row r="1" ht="24" customHeight="1">
      <x:c r="A1" s="39" t="s">
        <x:v>475</x:v>
      </x:c>
      <x:c r="B1" s="39"/>
      <x:c r="C1" s="39"/>
      <x:c r="D1" s="39"/>
      <x:c r="E1" s="39"/>
      <x:c r="F1" s="39"/>
    </x:row>
    <x:row r="2" ht="24" customHeight="1">
      <x:c r="A2" s="39"/>
      <x:c r="B2" s="39"/>
      <x:c r="C2" s="39"/>
      <x:c r="D2" s="39"/>
      <x:c r="E2" s="39"/>
      <x:c r="F2" s="39"/>
    </x:row>
    <x:row r="3" ht="24" customHeight="1">
      <x:c r="A3" s="18"/>
      <x:c r="B3" s="18"/>
      <x:c r="C3" s="18"/>
      <x:c r="D3" s="18"/>
      <x:c r="E3" s="18"/>
      <x:c r="F3" s="18"/>
    </x:row>
    <x:row r="4" ht="40" customHeight="1">
      <x:c r="A4" s="49" t="str">
        <x:v>Cleanup cutoff: October 19, 2026. HubSpot captures: October 21, 2026. Fictional practice data.</x:v>
      </x:c>
      <x:c r="B4" s="49"/>
      <x:c r="C4" s="49"/>
      <x:c r="D4" s="49"/>
      <x:c r="E4" s="49"/>
      <x:c r="F4" s="49"/>
    </x:row>
    <x:row r="5" ht="24" customHeight="1">
      <x:c r="A5" s="18"/>
      <x:c r="B5" s="18"/>
      <x:c r="C5" s="18"/>
      <x:c r="D5" s="18"/>
      <x:c r="E5" s="18"/>
      <x:c r="F5" s="18"/>
    </x:row>
    <x:row r="6" ht="24" customHeight="1">
      <x:c r="A6" s="18" t="str">
        <x:v>Source rows reviewed</x:v>
      </x:c>
      <x:c r="B6" s="18"/>
      <x:c r="C6" s="18"/>
      <x:c r="D6" s="18"/>
      <x:c r="E6" s="53" t="n">
        <x:f>COUNTA('Raw CRM Export'!A2:A37)</x:f>
        <x:v>36</x:v>
      </x:c>
      <x:c r="F6" s="52"/>
    </x:row>
    <x:row r="7" ht="24" customHeight="1">
      <x:c r="A7" s="18" t="str">
        <x:v>Contacts retained after cleanup</x:v>
      </x:c>
      <x:c r="B7" s="18"/>
      <x:c r="C7" s="18"/>
      <x:c r="D7" s="18"/>
      <x:c r="E7" s="53" t="n">
        <x:f>COUNTA('Cleaned Contacts'!A2:A33)</x:f>
        <x:v>32</x:v>
      </x:c>
      <x:c r="F7" s="52"/>
    </x:row>
    <x:row r="8" ht="24" customHeight="1">
      <x:c r="A8" s="18" t="str">
        <x:v>Duplicate rows consolidated</x:v>
      </x:c>
      <x:c r="B8" s="18"/>
      <x:c r="C8" s="18"/>
      <x:c r="D8" s="18"/>
      <x:c r="E8" s="53" t="n">
        <x:f>E6-E7</x:f>
        <x:v>4</x:v>
      </x:c>
      <x:c r="F8" s="52"/>
    </x:row>
    <x:row r="9" ht="24" customHeight="1">
      <x:c r="A9" s="18" t="str">
        <x:v>Data-quality issues logged</x:v>
      </x:c>
      <x:c r="B9" s="18"/>
      <x:c r="C9" s="18"/>
      <x:c r="D9" s="18"/>
      <x:c r="E9" s="53" t="n">
        <x:f>COUNTA('Issue Log'!A2:A17)</x:f>
        <x:v>16</x:v>
      </x:c>
      <x:c r="F9" s="52"/>
    </x:row>
    <x:row r="10" ht="24" customHeight="1">
      <x:c r="A10" s="18" t="str">
        <x:v>Contacts marked ready for import</x:v>
      </x:c>
      <x:c r="B10" s="18"/>
      <x:c r="C10" s="18"/>
      <x:c r="D10" s="18"/>
      <x:c r="E10" s="53" t="n">
        <x:f>COUNTIFS('Cleaned Contacts'!N2:N33,"Ready")+COUNTIFS('Cleaned Contacts'!N2:N33,"Ready - Duplicate Consolidated")</x:f>
        <x:v>20</x:v>
      </x:c>
      <x:c r="F10" s="52"/>
    </x:row>
    <x:row r="11" ht="24" customHeight="1">
      <x:c r="A11" s="18" t="str">
        <x:v>Contacts flagged for review</x:v>
      </x:c>
      <x:c r="B11" s="18"/>
      <x:c r="C11" s="18"/>
      <x:c r="D11" s="18"/>
      <x:c r="E11" s="53" t="n">
        <x:f>E7-E10</x:f>
        <x:v>12</x:v>
      </x:c>
      <x:c r="F11" s="52"/>
    </x:row>
    <x:row r="12" ht="24" customHeight="1">
      <x:c r="A12" s="18" t="str">
        <x:v>Follow-up tasks created</x:v>
      </x:c>
      <x:c r="B12" s="18"/>
      <x:c r="C12" s="18"/>
      <x:c r="D12" s="18"/>
      <x:c r="E12" s="53" t="n">
        <x:f>COUNTA('Follow-up Tracker'!A2:A5)</x:f>
        <x:v>4</x:v>
      </x:c>
      <x:c r="F12" s="52"/>
    </x:row>
    <x:row r="13" ht="24" customHeight="1">
      <x:c r="A13" s="18" t="str">
        <x:v>Overdue follow-ups flagged as of Oct 19</x:v>
      </x:c>
      <x:c r="B13" s="18"/>
      <x:c r="C13" s="18"/>
      <x:c r="D13" s="18"/>
      <x:c r="E13" s="53" t="n">
        <x:f>COUNTIFS('Cleaned Contacts'!N2:N33,"Needs Review - Overdue Follow-up")</x:f>
        <x:v>3</x:v>
      </x:c>
      <x:c r="F13" s="52"/>
    </x:row>
    <x:row r="14" ht="24" customHeight="1">
      <x:c r="A14" s="18"/>
      <x:c r="B14" s="18"/>
      <x:c r="C14" s="18"/>
      <x:c r="D14" s="18"/>
      <x:c r="E14" s="18"/>
      <x:c r="F14" s="18"/>
    </x:row>
    <x:row r="15" ht="24" customHeight="1">
      <x:c r="A15" s="18"/>
      <x:c r="B15" s="18"/>
      <x:c r="C15" s="18"/>
      <x:c r="D15" s="18"/>
      <x:c r="E15" s="18"/>
      <x:c r="F15" s="18"/>
    </x:row>
    <x:row r="16" ht="24" customHeight="1">
      <x:c r="A16" s="54" t="str">
        <x:v>MANAGER UPDATE</x:v>
      </x:c>
      <x:c r="B16" s="54"/>
      <x:c r="C16" s="54"/>
      <x:c r="D16" s="54"/>
      <x:c r="E16" s="54"/>
      <x:c r="F16" s="54"/>
    </x:row>
    <x:row r="17" ht="24" customHeight="1">
      <x:c r="A17" s="43" t="str">
        <x:v>I reviewed 36 source rows and retained 32 contacts after consolidating four duplicate pairs. I documented 16 data-quality issues and left 12 contacts flagged for review where details were missing, unclear, or conflicting. I imported the 20 ready contacts into HubSpot, keeping the practice record IDs and lead stages mapped to their own fields. I also created four follow-up tasks with due dates, priorities, and task notes. The four tasks were Not Started at capture.</x:v>
      </x:c>
      <x:c r="B17" s="43"/>
      <x:c r="C17" s="43"/>
      <x:c r="D17" s="43"/>
      <x:c r="E17" s="43"/>
      <x:c r="F17" s="43"/>
    </x:row>
    <x:row r="18" ht="24" customHeight="1">
      <x:c r="A18" s="43"/>
      <x:c r="B18" s="43"/>
      <x:c r="C18" s="43"/>
      <x:c r="D18" s="43"/>
      <x:c r="E18" s="43"/>
      <x:c r="F18" s="43"/>
    </x:row>
    <x:row r="19" ht="24" customHeight="1">
      <x:c r="A19" s="43"/>
      <x:c r="B19" s="43"/>
      <x:c r="C19" s="43"/>
      <x:c r="D19" s="43"/>
      <x:c r="E19" s="43"/>
      <x:c r="F19" s="43"/>
    </x:row>
    <x:row r="20" ht="24" customHeight="1">
      <x:c r="A20" s="43"/>
      <x:c r="B20" s="43"/>
      <x:c r="C20" s="43"/>
      <x:c r="D20" s="43"/>
      <x:c r="E20" s="43"/>
      <x:c r="F20" s="43"/>
    </x:row>
    <x:row r="21" ht="24" customHeight="1">
      <x:c r="A21" s="43"/>
      <x:c r="B21" s="43"/>
      <x:c r="C21" s="43"/>
      <x:c r="D21" s="43"/>
      <x:c r="E21" s="43"/>
      <x:c r="F21" s="43"/>
    </x:row>
    <x:row r="22" ht="24" customHeight="1">
      <x:c r="A22" s="18"/>
      <x:c r="B22" s="18"/>
      <x:c r="C22" s="18"/>
      <x:c r="D22" s="18"/>
      <x:c r="E22" s="18"/>
      <x:c r="F22" s="18"/>
    </x:row>
    <x:row r="23" ht="24" customHeight="1">
      <x:c r="A23" s="18"/>
      <x:c r="B23" s="18"/>
      <x:c r="C23" s="18"/>
      <x:c r="D23" s="18"/>
      <x:c r="E23" s="18"/>
      <x:c r="F23" s="18"/>
    </x:row>
    <x:row r="24" ht="24" customHeight="1">
      <x:c r="A24" s="54" t="str">
        <x:v>CLEANING DECISION SUMMARY</x:v>
      </x:c>
      <x:c r="B24" s="54"/>
      <x:c r="C24" s="54"/>
      <x:c r="D24" s="54"/>
      <x:c r="E24" s="54"/>
      <x:c r="F24" s="54"/>
    </x:row>
    <x:row r="25" ht="24" customHeight="1">
      <x:c r="A25" s="43" t="str">
        <x:v>I reviewed the 36 source rows and kept 32 contacts after checking four duplicate pairs. I matched names, email addresses, companies, and notes before merging, kept the original record IDs, and retained later dates only when another source record supported them.
I standardized clear formatting issues. I left missing emails, ambiguous statuses, and conflicting dates for review. Sam Villanueva stayed separate from Ben Cruz because the shared email did not establish that they were the same person.
I separated the 20 ready contacts from the 12 needing review before the HubSpot import. I kept the spreadsheet lead stages in a custom property so they would not be confused with HubSpot’s default fields. I then created four follow-up tasks with the recorded due dates and notes. The tasks remain Not Started.</x:v>
      </x:c>
      <x:c r="B25" s="43"/>
      <x:c r="C25" s="43"/>
      <x:c r="D25" s="43"/>
      <x:c r="E25" s="43"/>
      <x:c r="F25" s="43"/>
    </x:row>
    <x:row r="26" ht="24" customHeight="1">
      <x:c r="A26" s="43"/>
      <x:c r="B26" s="43"/>
      <x:c r="C26" s="43"/>
      <x:c r="D26" s="43"/>
      <x:c r="E26" s="43"/>
      <x:c r="F26" s="43"/>
    </x:row>
    <x:row r="27" ht="24" customHeight="1">
      <x:c r="A27" s="43"/>
      <x:c r="B27" s="43"/>
      <x:c r="C27" s="43"/>
      <x:c r="D27" s="43"/>
      <x:c r="E27" s="43"/>
      <x:c r="F27" s="43"/>
    </x:row>
    <x:row r="28" ht="24" customHeight="1">
      <x:c r="A28" s="43"/>
      <x:c r="B28" s="43"/>
      <x:c r="C28" s="43"/>
      <x:c r="D28" s="43"/>
      <x:c r="E28" s="43"/>
      <x:c r="F28" s="43"/>
    </x:row>
    <x:row r="29" ht="24" customHeight="1">
      <x:c r="A29" s="43"/>
      <x:c r="B29" s="43"/>
      <x:c r="C29" s="43"/>
      <x:c r="D29" s="43"/>
      <x:c r="E29" s="43"/>
      <x:c r="F29" s="43"/>
    </x:row>
    <x:row r="30" ht="24" customHeight="1">
      <x:c r="A30" s="43"/>
      <x:c r="B30" s="43"/>
      <x:c r="C30" s="43"/>
      <x:c r="D30" s="43"/>
      <x:c r="E30" s="43"/>
      <x:c r="F30" s="43"/>
    </x:row>
    <x:row r="31" ht="24" customHeight="1">
      <x:c r="A31" s="43"/>
      <x:c r="B31" s="43"/>
      <x:c r="C31" s="43"/>
      <x:c r="D31" s="43"/>
      <x:c r="E31" s="43"/>
      <x:c r="F31" s="43"/>
    </x:row>
  </x:sheetData>
  <x:mergeCells>
    <x:mergeCell ref="A1:F2"/>
    <x:mergeCell ref="A4:F4"/>
    <x:mergeCell ref="A6:D6"/>
    <x:mergeCell ref="A7:D7"/>
    <x:mergeCell ref="A8:D8"/>
    <x:mergeCell ref="A16:F16"/>
    <x:mergeCell ref="A17:F21"/>
    <x:mergeCell ref="A24:F24"/>
    <x:mergeCell ref="A25:F31"/>
    <x:mergeCell ref="A9:D9"/>
    <x:mergeCell ref="A10:D10"/>
    <x:mergeCell ref="A11:D11"/>
    <x:mergeCell ref="A12:D12"/>
    <x:mergeCell ref="A13:D13"/>
    <x:mergeCell ref="E6:F6"/>
    <x:mergeCell ref="E7:F7"/>
    <x:mergeCell ref="E8:F8"/>
    <x:mergeCell ref="E9:F9"/>
    <x:mergeCell ref="E10:F10"/>
    <x:mergeCell ref="E11:F11"/>
    <x:mergeCell ref="E12:F12"/>
    <x:mergeCell ref="E13:F13"/>
  </x:mergeCells>
  <x:pageMargins left="0.7" right="0.7" top="0.75" bottom="0.75" header="0.3" footer="0.3"/>
</x:worksheet>
</file>